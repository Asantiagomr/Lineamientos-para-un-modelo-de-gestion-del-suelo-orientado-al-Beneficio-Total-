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MATRZ DE LINEAMIENTOS\"/>
    </mc:Choice>
  </mc:AlternateContent>
  <xr:revisionPtr revIDLastSave="0" documentId="13_ncr:1_{BD198874-8DEF-48FE-9D6B-DD6B16337428}" xr6:coauthVersionLast="47" xr6:coauthVersionMax="47" xr10:uidLastSave="{00000000-0000-0000-0000-000000000000}"/>
  <bookViews>
    <workbookView xWindow="-108" yWindow="-108" windowWidth="23256" windowHeight="13896" xr2:uid="{06BFF19B-AF02-4929-B4B7-F0C5B8B4E1DC}"/>
  </bookViews>
  <sheets>
    <sheet name="MATRIZ" sheetId="1" r:id="rId1"/>
    <sheet name="ELECCIONES" sheetId="2" state="hidden" r:id="rId2"/>
  </sheets>
  <definedNames>
    <definedName name="_xlnm._FilterDatabase" localSheetId="1" hidden="1">ELECCIONES!$A$1:$B$6</definedName>
    <definedName name="_xlnm._FilterDatabase" localSheetId="0" hidden="1">MATRIZ!$A$1:$J$10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M8" i="1"/>
  <c r="M7" i="1"/>
  <c r="M6" i="1"/>
  <c r="M5" i="1"/>
  <c r="M4" i="1"/>
  <c r="M2" i="1"/>
  <c r="M3" i="1"/>
</calcChain>
</file>

<file path=xl/sharedStrings.xml><?xml version="1.0" encoding="utf-8"?>
<sst xmlns="http://schemas.openxmlformats.org/spreadsheetml/2006/main" count="993" uniqueCount="708">
  <si>
    <t>BLOQUE</t>
  </si>
  <si>
    <t>PRIORIDAD</t>
  </si>
  <si>
    <t>CÓDIGO</t>
  </si>
  <si>
    <t>Baja</t>
  </si>
  <si>
    <t>Alta</t>
  </si>
  <si>
    <t>Media</t>
  </si>
  <si>
    <t>Medio</t>
  </si>
  <si>
    <t>Criticidad</t>
  </si>
  <si>
    <t>Crítica</t>
  </si>
  <si>
    <t>PROBLEMA TERRITORIAL ASOCIADO</t>
  </si>
  <si>
    <t>INTERVENCIÓN ORIGEN</t>
  </si>
  <si>
    <t>LINEAMIENTO</t>
  </si>
  <si>
    <t>INSTRUMENTO SOPORTE</t>
  </si>
  <si>
    <t>TEMPORALIDAD</t>
  </si>
  <si>
    <t>ESCALA/LOCALIZACIÓN</t>
  </si>
  <si>
    <t>L1.1</t>
  </si>
  <si>
    <t>L1.2</t>
  </si>
  <si>
    <t>L1.3</t>
  </si>
  <si>
    <t>L1.4</t>
  </si>
  <si>
    <t>L1.5</t>
  </si>
  <si>
    <t>Temporalidad</t>
  </si>
  <si>
    <t>Corto</t>
  </si>
  <si>
    <t>Medio-Largo</t>
  </si>
  <si>
    <t>Largo</t>
  </si>
  <si>
    <t>Corto-Medio</t>
  </si>
  <si>
    <t>Consolidación Urbana</t>
  </si>
  <si>
    <t>MAPA</t>
  </si>
  <si>
    <t>TRAZABILIDAD</t>
  </si>
  <si>
    <t>L1.6</t>
  </si>
  <si>
    <t>L1.7</t>
  </si>
  <si>
    <t>L1.8</t>
  </si>
  <si>
    <t>L1.9</t>
  </si>
  <si>
    <t>Control Expansión Urbana</t>
  </si>
  <si>
    <t>Reequilibrio Funcional del Territorio</t>
  </si>
  <si>
    <t>Crecimiento fragmentado, baja compacidad y desarticulación territorial</t>
  </si>
  <si>
    <t>Fomento de la densificación urbana</t>
  </si>
  <si>
    <t>Sector urbano con enfoque en sectores consolidados, corredores y vacíos internos</t>
  </si>
  <si>
    <t>Proporción crítica de predios sin desarrollo ni urbanización</t>
  </si>
  <si>
    <t>Activación de vacíos urbanos mediante incentivos</t>
  </si>
  <si>
    <t>Incentivo al desarrollo prioritario Fast-track en procesos administrativos
Incentivos por consolidación
Predial articulado a la capacidad de LVC</t>
  </si>
  <si>
    <t>Nuevo POT
Matriz de edificabilidad básica/adicional
Bonos de edificabilidad
OODC
Desarrollo Prioritario</t>
  </si>
  <si>
    <t>Sector urbano y perimetral subutilizado</t>
  </si>
  <si>
    <t>Presión sobre suelo rural productivo y de protección</t>
  </si>
  <si>
    <t>Perímetro urbano, con enfoque en los bordes sur, norte y oriental</t>
  </si>
  <si>
    <t>Expansión urbana sin soporte de redes ni servicios</t>
  </si>
  <si>
    <t>Desarrollo condicionado a provisión de servicios urbanos</t>
  </si>
  <si>
    <t>Licenciamiento condicionado
Cesiones urbanas
Linkage/exacciones
Reparto de cargas y beneficios</t>
  </si>
  <si>
    <t>Penalización al desarrollo disperso y no planificado</t>
  </si>
  <si>
    <t>Matriz de cargas y compensaciones por proyecto
Auditoria especifica
Reporte y publicación abierta de aportes al territorio</t>
  </si>
  <si>
    <t>Sectores no consolidados en el periurbano</t>
  </si>
  <si>
    <t>Concentración de servicios y acceso a oportunidades</t>
  </si>
  <si>
    <t>Descentralización de servicios urbanos</t>
  </si>
  <si>
    <t>UAU
Planes Parciales
Incentivos zonales
Inversión focalizada
Linkage</t>
  </si>
  <si>
    <t>Polarización funcional eje sur-norte y homogenización de usos</t>
  </si>
  <si>
    <t>Fomento a la mezcla de actividades urbanas</t>
  </si>
  <si>
    <t>Normativa por uso
Bono por mezcla funcional y efectiva
Cuota por actividad urbana</t>
  </si>
  <si>
    <t>Creación de nuevas centralidades fuera de los puntos actuales</t>
  </si>
  <si>
    <t>Planificación policéntrica
Equipamientos estratégicos
APPs
ICE</t>
  </si>
  <si>
    <t>Sectores subordinados sur, oriente y periferia</t>
  </si>
  <si>
    <t>Definición de instrumentos de gestión de la expansión</t>
  </si>
  <si>
    <t>UAU
Planes parciales
Plusvalía
Valorización
LVC
Banco de tierras
Valorización</t>
  </si>
  <si>
    <t>Suelo en expansión y periurbano, limitado por la capacidad de tolerar el crecimiento</t>
  </si>
  <si>
    <t>Indicadores anuales de densificación
Ocupación progresiva de vacíos identificados
Seguimiento SIG Actualización periódica del catastro</t>
  </si>
  <si>
    <t>Programa de activación de vacíos urbanos, combinando incentivos normativos con mecanismos de obligación progresiva para incorporar el suelo urbanizado al desarrollo efectivo</t>
  </si>
  <si>
    <t>Registro catastral actualizado periódicamente
Reporte periódico de activación predial
Control de licencias</t>
  </si>
  <si>
    <t>Regulación estricta de la ocupación sobre suelo protegido</t>
  </si>
  <si>
    <t>Contención urbana efectiva a través de limites para nuevas expansiones sobre suelo rural productivo, protegido o de baja capacidad de soporte, subordinado a cualquier futuro desarrollo solo en caso de agotarse el suelo interno libre</t>
  </si>
  <si>
    <t>Perímetros de contención activos por control comunitario
NNLT
Downzoning
Ecotasas
Limitaciones Normativas</t>
  </si>
  <si>
    <t>Condicionamiento de licenciamiento al cumplimiento previo, verificando conectividad a servicios urbanos, accesibilidad urbana y aportes urbanísticos</t>
  </si>
  <si>
    <t>Perímetro urbano y suelo de expansión</t>
  </si>
  <si>
    <t>patrón de ocupación de suelo ineficiente y tasas de consumo extensiva de suelo</t>
  </si>
  <si>
    <t>desincentivo económico al desarrollo disperso mediante esquema diferencial de cargas, junto a exigencias urbanas y compensación territorial por el factor de consumo de suelo no consolidado</t>
  </si>
  <si>
    <t>LVC
Carga diferencial de urbanización
Compensación ambiental
Clawback</t>
  </si>
  <si>
    <t>Reequilibrio funcional del territorio a través de la descentralización de servicios urbanos, dotación general de servicios públicos en igualdad de condiciones, y accesibilidad a oportunidades de desarrollo en sectores sub-atendidos</t>
  </si>
  <si>
    <t>Matriz territorial dinámica de cobertura de servicios 
Metas definidas por sector con seguimiento de accesibilidad zonal</t>
  </si>
  <si>
    <t>Sectores subordinados, con enfoque en sector sur, oriente, periferias y rural</t>
  </si>
  <si>
    <t>Exigencia de mezcla mínima de usos urbanos, basados en diversificar la  función urbana en nuevos desarrollos y renovación</t>
  </si>
  <si>
    <t>Matriz de revisión de licencias
Fichas de control funcional por proyecto urbano
Reporte de evaluación posdesarrollo</t>
  </si>
  <si>
    <t>Sectores subutilizados y homogéneos, sin actividad urbana diversificada</t>
  </si>
  <si>
    <t>Dependencia de centralidades y accesibilidad territorial desigual</t>
  </si>
  <si>
    <t>Matriz de monitorización de tiempos para acceso a servicios
Seguimiento efectivad de equipamientos y servicios por nodo</t>
  </si>
  <si>
    <t>Bajo aprovechamiento de suelo urbano a consolidar vs nueva expansión</t>
  </si>
  <si>
    <t>Esquema de control vinculando la expansión con instrumentos de reparto de cargas y beneficios, captura de valor y garantías de crecimiento en beneficio retributivo para la ciudad</t>
  </si>
  <si>
    <t>Medios para convenios territoriales
Fondos finalistas
Reportes públicos de valor capturado y destino definido</t>
  </si>
  <si>
    <t>L 2.1</t>
  </si>
  <si>
    <t>L 2.2</t>
  </si>
  <si>
    <t>L 2.3</t>
  </si>
  <si>
    <t>L 2.4</t>
  </si>
  <si>
    <t>L 2.5</t>
  </si>
  <si>
    <t>L 2.6</t>
  </si>
  <si>
    <t>L 2.7</t>
  </si>
  <si>
    <t>L 2.8</t>
  </si>
  <si>
    <t>L 2.9</t>
  </si>
  <si>
    <t>Integración Ambiental</t>
  </si>
  <si>
    <t>Recuperación Ambiental</t>
  </si>
  <si>
    <t>Gestión de Riesgo</t>
  </si>
  <si>
    <t>Estructura Ecológica</t>
  </si>
  <si>
    <t>Imprecisión entre crecimiento urbano y capacidad del suelo</t>
  </si>
  <si>
    <t>Restricciones ambientales dentro de la normativa territorial</t>
  </si>
  <si>
    <t>Nuevo POT
Zonificación por capacidad del suelo
Suelo de protección dinámico
Normativa de ocupación diferenciada
Licencia condicionada</t>
  </si>
  <si>
    <t>Sector periurbano, suelo en amenaza alta por riesgo, suelo protegido y suelo rural</t>
  </si>
  <si>
    <t>Desconexión entre condicionantes ambientales y planificación territorial</t>
  </si>
  <si>
    <t>Control de ocupación sobre franjas ambientales</t>
  </si>
  <si>
    <t>Estructura ecológica principal</t>
  </si>
  <si>
    <t>Restauración de suelo degradado por erosión y cárcavas invadidas</t>
  </si>
  <si>
    <t>POT
Catastro actualizado accesible
Ley 388
Control Urbano</t>
  </si>
  <si>
    <t>Control de licencias
Registro de ocupaciones</t>
  </si>
  <si>
    <t>Zonas de amenaza alta, concentradas e periurbano sur y bordes orientales y occidentales</t>
  </si>
  <si>
    <t>Reasentamiento de población en zonas críticas</t>
  </si>
  <si>
    <t>Reasentamiento
Subsidios VIS VIP
Banco de tierras
Regularización diferenciada
Acompañamiento social
Mesas de trabajo participativo</t>
  </si>
  <si>
    <t>Delimitación de rondas
Servidumbres y modelos de adquisición predial
Fondos de LVC</t>
  </si>
  <si>
    <t>Deterioro y reducción de humedales</t>
  </si>
  <si>
    <t>Protección de humedales</t>
  </si>
  <si>
    <t>PEMP
POMCA
Compensaciones urbana
Proyectos de espacio público</t>
  </si>
  <si>
    <t>Incremento de Espacio Público</t>
  </si>
  <si>
    <t>Calidad Espacio Público</t>
  </si>
  <si>
    <t>Gestión Cesiones</t>
  </si>
  <si>
    <t>Equipamientos</t>
  </si>
  <si>
    <t>L 3.1</t>
  </si>
  <si>
    <t>L 3.2</t>
  </si>
  <si>
    <t>L 3.3</t>
  </si>
  <si>
    <t>L 3.4</t>
  </si>
  <si>
    <t>L 3.5</t>
  </si>
  <si>
    <t>L 3.6</t>
  </si>
  <si>
    <t>L 3.7</t>
  </si>
  <si>
    <t>L 3.8</t>
  </si>
  <si>
    <t>L 3.9</t>
  </si>
  <si>
    <t>L 3.10</t>
  </si>
  <si>
    <t>L 3.11</t>
  </si>
  <si>
    <t>L 3.12</t>
  </si>
  <si>
    <t>L 3.13</t>
  </si>
  <si>
    <t>Cesiones obligatorias
LVC
Valorización
Banco de tierras
Linkage/exacciones</t>
  </si>
  <si>
    <t>POT actualizado
Planes parciales
UAU
Fichas de urbanización</t>
  </si>
  <si>
    <t>Suelo subutilizado y de bajo aprovechamiento</t>
  </si>
  <si>
    <t>Suelo urbano fragmentado, priorizando suelos de alto potencial territorial</t>
  </si>
  <si>
    <t>Matriz de indicadores de uso, permanencia y diversidad
Esquema de seguimiento zonal</t>
  </si>
  <si>
    <t>Incumplimiento de entrega de cesiones</t>
  </si>
  <si>
    <t>Predios identificados como cesiones no ejecutadas</t>
  </si>
  <si>
    <t>UAU
Planes parciales
Reparto de cargas y beneficios</t>
  </si>
  <si>
    <t>Seguimiento presupuestal por sector
Matriz de metas de reducción brecha socioespacial</t>
  </si>
  <si>
    <t>Baja variedad funcional</t>
  </si>
  <si>
    <t>Matrices de revisión por sector
Inventario actualizado</t>
  </si>
  <si>
    <t>Territorio general</t>
  </si>
  <si>
    <t>L 4.1</t>
  </si>
  <si>
    <t>L 4.2</t>
  </si>
  <si>
    <t>L 4.3</t>
  </si>
  <si>
    <t>L 4.4</t>
  </si>
  <si>
    <t>L 4.5</t>
  </si>
  <si>
    <t>L 4.6</t>
  </si>
  <si>
    <t>L 4.7</t>
  </si>
  <si>
    <t>L 4.8</t>
  </si>
  <si>
    <t>L 4.9</t>
  </si>
  <si>
    <t>L 4.10</t>
  </si>
  <si>
    <t>L 4.11</t>
  </si>
  <si>
    <t>L 4.12</t>
  </si>
  <si>
    <t>L 4.13</t>
  </si>
  <si>
    <t>L 4.14</t>
  </si>
  <si>
    <t>Cobertura de Servicios</t>
  </si>
  <si>
    <t>Calidad y Eficiencia de Servicios</t>
  </si>
  <si>
    <t>Red Vial</t>
  </si>
  <si>
    <t>Movilidad Sostenible</t>
  </si>
  <si>
    <t>Transporte Público</t>
  </si>
  <si>
    <t>Baja cobertura en suelo rural</t>
  </si>
  <si>
    <t>Expansión de servicios en suelo rural</t>
  </si>
  <si>
    <t>Suelo rural y periurbano</t>
  </si>
  <si>
    <t>Alcantarillado de baja calidad sanitaria en periferia y sector rural</t>
  </si>
  <si>
    <t>Modelo diferenciado de servicio rural</t>
  </si>
  <si>
    <t>Intervenciones descentralizadas
PTAR complementaria
APPs</t>
  </si>
  <si>
    <t>Soluciones informales de saneamiento</t>
  </si>
  <si>
    <t>PTAR
Ampliación de red
Modelo de red descentralizada</t>
  </si>
  <si>
    <t>Seguimiento técnico de formalización
Control de vertimientos
Indicadores de cobertura efectiva por sector</t>
  </si>
  <si>
    <t>Conexiones transversales</t>
  </si>
  <si>
    <t>Deterioro vial</t>
  </si>
  <si>
    <t>Reparación y mantenimiento de la red vial</t>
  </si>
  <si>
    <t>Licenciamiento condicionado
Cesiones urbanas a red vial
Reparto de cargas y beneficios
Planes parciales</t>
  </si>
  <si>
    <t>Deficiencia en infraestructura peatonal</t>
  </si>
  <si>
    <t>Red peatonal continua</t>
  </si>
  <si>
    <t>Matriz con indicadores de continuidad peatonal, calidad, calificación por usuarios y tiempos de trayecto
Auditorias de intervenciones
Seguimiento de tramos priorizados</t>
  </si>
  <si>
    <t>Deficiencia en infraestructura ciclista</t>
  </si>
  <si>
    <t>Plan de movilidad sostenible
Bonos de urbanización
Integración modal</t>
  </si>
  <si>
    <t>Sector urbano general, priorizando sectores de mayor transito de personas (centralidades)</t>
  </si>
  <si>
    <t>Baja oferta y prioridad de transporte alternativo y sostenible</t>
  </si>
  <si>
    <t>Revisión de diseño de proyectos urbanos</t>
  </si>
  <si>
    <t>Red de rutas ineficiente</t>
  </si>
  <si>
    <t>Reorganización de rutas de transporte</t>
  </si>
  <si>
    <t>Matriz de control de rutas con indicadores de tiempos de viaje, superposiciones existentes y desempeño por ruta</t>
  </si>
  <si>
    <t>Sector urbano general, priorizando ejes urbanos con potencial de conexión transversal</t>
  </si>
  <si>
    <t>Periferia urbana, suelo de expansión y rural</t>
  </si>
  <si>
    <t>Integración modal del transporte</t>
  </si>
  <si>
    <t>Ampliación de cobertura en sectores críticos</t>
  </si>
  <si>
    <t>Rediseño de la red, sumado al lineamiento L 4.12, extendiendo la cobertura efectiva hacia sectores críticos, priorizando la accesibilidad funcional</t>
  </si>
  <si>
    <t>SETP
TPCU
Subsidios operativos
Integración regional
Análisis de demanda</t>
  </si>
  <si>
    <t>Indicadores de cobertura territorial
Seguimiento de frecuencias, tiempos, calidad de acceso y sensación del usuario por sector</t>
  </si>
  <si>
    <t>Inexistencia de sistema integrado de transporte</t>
  </si>
  <si>
    <t>Integración modal 
Nodos de intercambio
Planificación regional</t>
  </si>
  <si>
    <t>Matriz de seguimiento de integración de la red, implementación, funcionalidad y calidad del servicio (tiempo, acceso, servicios, diversidad)</t>
  </si>
  <si>
    <t>Territorio general con enfoque en nodos, centralidades y puntos críticos de intercambio</t>
  </si>
  <si>
    <t>Incorporación de restricciones ambientales y físicas para regular la expansión urbana, donde toda actuación se subordine a la capacidad del suelo para soportarla, junto al impacto mínimo suelos frágiles</t>
  </si>
  <si>
    <t>Esquema de control y verificación de licencias sobre zonificación de riesgos y restricciones
Reportes periódicos con SIG de nuevas ocupaciones y protección de suelo</t>
  </si>
  <si>
    <t>Sistema preventivo de control y sanción sobre ocupaciones en franjas ambientales, priorización el control preventivo, interrupción temprana y mitigaciones de procesos informales</t>
  </si>
  <si>
    <t>Control territorial
Inspecciones zonales
SIG
Régimen sancionatorio
Coordinación POT-orden ambiental en formulación y aplicación</t>
  </si>
  <si>
    <t>Sistemas de alerta temprana
Registro e inspección periódica georreferenciada según ocupaciones y puntos críticos ambientales</t>
  </si>
  <si>
    <t>Expansión y ocupación de suelo erosivo y de cárcava</t>
  </si>
  <si>
    <t>Programa prioritario de restauración de cárcavas y suelos erosivos, articulando la recuperación ambiental con el aprovechamiento funcional de drenaje urbana y la contención del crecimiento</t>
  </si>
  <si>
    <t>Obras de estabilización de suelo erosionado
POMCA
Compensaciones ambientales
Fondos finalistas</t>
  </si>
  <si>
    <t>Ficha de intervención zonal
Monitoreo periódico sobre secciones intervenidas
Seguimiento SIG</t>
  </si>
  <si>
    <t>Sectores identificados con procesos críticos erosivos y cárcavas dentro del periurbano y con situaciones criticas de ocupación</t>
  </si>
  <si>
    <t>Transformación, fragmentación y ocupación de suelo ambiental</t>
  </si>
  <si>
    <t>Reforestación y recuperación de cobertura vegetal</t>
  </si>
  <si>
    <t>Estrategia de reforestación y restauración ambiental, con prioridad en franjas de borde urbano, corredores de transición y zonas sin soporte ecológico, todo orientado a contener la vulnerabilidad ambiental y reconectar la estructura ecológica principal</t>
  </si>
  <si>
    <t>Incentivos verdes
Compensación ecológica
Fondos ambientales
NNLT
Convenios interinstitucionales
APPs
Instrumentos de cesión y compensación
Proyectos revitalización de bordes</t>
  </si>
  <si>
    <t>Borde urbano, zonas de protección e interés ambiental, corredores ecológicos</t>
  </si>
  <si>
    <t>Superposición de zonas de amenaza con desarrollo informal</t>
  </si>
  <si>
    <t>Restricción y prohibición de asentamientos en zonas de riesgo no mitigable</t>
  </si>
  <si>
    <t>Esquema de prohibición de urbanización, consolidación, regularización y crecimiento en suelo con riesgo no mitigable, con enfoque en la protección de la población y control de la ocupación informal</t>
  </si>
  <si>
    <t>Población en zonas criticas</t>
  </si>
  <si>
    <t>Censo de hábitats priorizados
Cronograma de reasentamientos
Esquema de seguimiento y garantía de permanencia postproceso</t>
  </si>
  <si>
    <t>Sectores con mayores índices de población en situación de riesgo y hábitat informal, concentrado en periurbano, rondas hídricas y franja férrea</t>
  </si>
  <si>
    <t>Ocupación de rondas hídricas en suelo urbano</t>
  </si>
  <si>
    <t>Recuperación de rondas hídricas</t>
  </si>
  <si>
    <t>Macroproyecto de recuperación y protección progresiva de las rondas hídricas urbanas, integrándose a la estructura ecológica como componentes ambientales y funcionales</t>
  </si>
  <si>
    <t>Delimitación georreferenciada SIG
Metas de restitución
Matrices de seguimiento periódico de secciones recuperadas</t>
  </si>
  <si>
    <t>Río Jordán, río La Vega, Humedales, Cárcavas y vertientes</t>
  </si>
  <si>
    <t>Matriz de inventario actualizado
Matriz de evaluación periódica de estado
Control de ocupaciones</t>
  </si>
  <si>
    <t>Humedales en suelo urbano y perímetros de influencia</t>
  </si>
  <si>
    <t>Desarticulación de estructura ecológica y desarrollo territorial</t>
  </si>
  <si>
    <t>Integración de la estructura ecológica en el planeamiento urbano</t>
  </si>
  <si>
    <t>Sistema de medidas para integrar la estructura ecológica en diseño de nuevas actuaciones urbanas, garantizando la conectividad ambiental y función ecologica-hidrica dentro de la estructura urbana</t>
  </si>
  <si>
    <t>Norma urbanística diferenciada
OODC
Incentivos ambientales
Diseño urbano condicionado
IPELverde</t>
  </si>
  <si>
    <t>Programa de revisión de proyectos por fichas ambientales
Cumplimiento de fichas para licencias
Auditoria de ejecución ecológica</t>
  </si>
  <si>
    <t>Sectores internos y del periurbano de nuevo desarrollo, renovación y transición urbana</t>
  </si>
  <si>
    <t>Matriz de indicadores periódicos y sectorizados de m²/hab
Reportes públicos de suelo intervenido</t>
  </si>
  <si>
    <t>Zonas de mayor déficit en sectores subordinados urbanos, zonas periférica urbana</t>
  </si>
  <si>
    <t>Integración de cesiones urbanísticas en nuevo sistema urbano</t>
  </si>
  <si>
    <t>Vinculación de la cesión urbanística en la nueva red urbana, articulando mecanismos de captura y ejecución real de cesiones, evitando cesiones no capturadas, piezas aisladas, residuales o sin función urbana</t>
  </si>
  <si>
    <t>Registro actualizado de cesiones entregadas, con control de su estado funcional, conexión al sistema urbano y control revisiones periódicas de efectividad</t>
  </si>
  <si>
    <t>Recuperación de suelo subutilizado</t>
  </si>
  <si>
    <t>Recuperación urbana
Banco de tierra
APPs
Cesiones reorientadas y actualizadas según lineamiento L 3.2</t>
  </si>
  <si>
    <t>Inventario de suelo aprovechable
seguimiento de suelo con potencial comparando su tasas de reconversión y usos posteriores</t>
  </si>
  <si>
    <t>Aprovechamiento de instrumentos de captura para financiación urbana</t>
  </si>
  <si>
    <t>Plusvalía
Valorización
Fondos finalistas
Clawback
Linkage</t>
  </si>
  <si>
    <t>Fondos específicos de LVC
Reportes periódicos de recaudo, destino y ejecución por proyecto</t>
  </si>
  <si>
    <t>Escala urbana integral, focalizando sectores de alto déficit</t>
  </si>
  <si>
    <t>Fichas de estándares de calidad
Evaluación pre y post intervención y uso</t>
  </si>
  <si>
    <t>Mobiliario urbano, iluminación y accesibilidad insuficiente</t>
  </si>
  <si>
    <t>Mejora de iluminación, accesibilidad y mobiliario</t>
  </si>
  <si>
    <t>Normas técnicas urbanas
Licencias condicionadas
Fichas de diseño
APPs</t>
  </si>
  <si>
    <t>Matriz de revisión de intervenciones
Inspecciones técnicas
Reportes periódicos de estado y necesidades de mantenimiento</t>
  </si>
  <si>
    <t>Estándares y criterios de frente activo
Permisos de actividad temporal
Gestión comunitaria
POPs</t>
  </si>
  <si>
    <t>Centro histórico, parques locales, suelo subutilizado</t>
  </si>
  <si>
    <t>Sistema de control de cumplimiento de cesiones urbanísticas</t>
  </si>
  <si>
    <t>Sistema unificado de control y seguimiento de cesiones, que permita verificar entrega material, estado de desarrollo e incorporación efectiva en la red territorial</t>
  </si>
  <si>
    <t>Cesiones obligatorias reestructuradas
Control territorial
Seguimiento SIG
Auditoria territorial</t>
  </si>
  <si>
    <t>Territorio general, con énfasis en sectores subutilizados y vacíos urbanos</t>
  </si>
  <si>
    <t>Índice alto de cesiones sin desarrollo</t>
  </si>
  <si>
    <t>Regularización de cesiones no ejecutadas</t>
  </si>
  <si>
    <t>Inventario de cesiones pendientes
Cronograma de ejecución por priorización</t>
  </si>
  <si>
    <t>Desarticulación cesiones con planificación territorial</t>
  </si>
  <si>
    <t>Integración de cesiones en planificación territorial</t>
  </si>
  <si>
    <t>Priorización de proyectos sobre cesiones
Verificación de integración funcional de cesiones</t>
  </si>
  <si>
    <t>Sectores con cesiones dispersas e inconexas</t>
  </si>
  <si>
    <t>Distribución inequitativa de equipamientos</t>
  </si>
  <si>
    <t>relocalización estratégica de nuevos equipamientos</t>
  </si>
  <si>
    <t>Relocalización de equipamientos, nuevos y existentes, bajo criterios de déficit, accesibilidad y equidad territorial</t>
  </si>
  <si>
    <t>Inversión focalizada
Linkage
APPs
Planes locales/sectoriales</t>
  </si>
  <si>
    <t>Matrices de cobertura y accesibilidad
Indicadores de acceso por tipo
Reportes de garantía en acceso</t>
  </si>
  <si>
    <t>Priorización sobre zonas periféricas, de expansión y suelo rural de baja cobertura funcional</t>
  </si>
  <si>
    <t>Concentración funcional en áreas consolidades</t>
  </si>
  <si>
    <t>Inversión prioritaria en periferias y rural</t>
  </si>
  <si>
    <t>Presupuestos participativos
LVC
Linkage
Equipamientos multiescalar
Múltiples sedes por equipamiento</t>
  </si>
  <si>
    <t>sectores periféricos, de expansión y suelo rural</t>
  </si>
  <si>
    <t>Diversificación de equipamientos</t>
  </si>
  <si>
    <t>Promoción de oferta diversificada de equipamientos, con énfasis en mayores déficits (recreaciones, bienestar, atención ciudadana y deporte)</t>
  </si>
  <si>
    <t>Planificación sectorial
APPs
Limites y parámetros de mezcla funcional de servicios por zona</t>
  </si>
  <si>
    <t>Priorización y proyecto de extensión de servicios públicos en suelo rural, mediante esquema progresivo diferenciado</t>
  </si>
  <si>
    <t>Modelo diferenciado de saneamiento para sector rural, evitando dependencia de oferta urbana, pero con el mismo estándar de calidad y cobertura,  con criterios de salubridad y sostenibilidad</t>
  </si>
  <si>
    <t>Registro y control de solución por tipo, control sanitario y viabilidad de funcionamiento</t>
  </si>
  <si>
    <t>Inconsistencias en datos públicos de cobertura</t>
  </si>
  <si>
    <t>Estandarización acceso libre a datos de servicios públicos</t>
  </si>
  <si>
    <t>Sistema unificado de información sobre servicios públicos, presentando cobertura, calidad y conectividad por sectores</t>
  </si>
  <si>
    <t>Observatorio urbano
SIG
Catastro
Sistema unificado de datos abiertos
Indicadores de desempeño</t>
  </si>
  <si>
    <t>Gestión deficiente de residuos</t>
  </si>
  <si>
    <t>Sistema de gestión de residuos</t>
  </si>
  <si>
    <t>Sistema de gestión integral de residuos mediante modelo de control de disposición, ampliación de capacidad, gestión diferenciada y trazabilidad</t>
  </si>
  <si>
    <t>Gestión integral de residuos
Regulación de residuos
Economía circular
Fondos ambientales</t>
  </si>
  <si>
    <t>Matriz con indicadores de disposición, reciclaje y control de puntos críticos
Auditoria periódica</t>
  </si>
  <si>
    <t>Restitución de sistemas informales para incorporarse en red formal</t>
  </si>
  <si>
    <t>Restitución de sistemas informales mediante la mejora y complementación con infraestructura formal, priorizando sector de mayor vulnerabilidad sanitaria</t>
  </si>
  <si>
    <t>Discontinuidad vial y dependencia en ejes longitudinales</t>
  </si>
  <si>
    <t>Programa de refuerzo de conectividad transversal, reduciendo dependencia de ejes principales y tiempos de movilidad</t>
  </si>
  <si>
    <t>Jerarquización vial actualizada
Reparto de cargas y beneficios
Linkage vial
Proyectos estructurantes
Presupuestos participativos</t>
  </si>
  <si>
    <t>Monitoreo de conectividad vial
Control del avance físico de intervenciones
Matrices de medición bajo estándares de accesibilidad, tiempos de circulación y articulación territorial</t>
  </si>
  <si>
    <t>Territorio general con énfasis en sector urbano norte y oriente</t>
  </si>
  <si>
    <t>Programa permanente de mantenimiento y rehabilitación vial, priorizando puntos críticos de movilidad, y consolidando un esquema de intervención continua de la red</t>
  </si>
  <si>
    <t>Priorización técnica
Sistemas de mantenimiento programado
Trazabilidad presupuestal</t>
  </si>
  <si>
    <t>Inventario actualizado de la red vial caracterizando su estado
Cronograma periódico de intervenciones
Reportes periódicos presupuestales por tramo</t>
  </si>
  <si>
    <t>Red poco adaptada al crecimiento periférico y nuevas expansiones</t>
  </si>
  <si>
    <t>Modelo de adaptación de bordes viales</t>
  </si>
  <si>
    <t>Normativa sobre nuevos desarrollos para la articulación obligatoria a red vial a través de planes viales, diseño urbano y proyecciones de la red a futuro</t>
  </si>
  <si>
    <t>Certificación vial previa a la licencia
Esquema de verificación de obras presentadas en el plan vial</t>
  </si>
  <si>
    <t>Red peatonal articulada y accesible, orientada a conectar centralidades, servicios urbanos y áreas residenciales</t>
  </si>
  <si>
    <t>Estándares en perfiles urbanos
Definiciones obligatorias de accesibilidad
Rehabilitación urbana</t>
  </si>
  <si>
    <t>Sector urbano general, priorizando sectores con mayor déficit al norte y periferias</t>
  </si>
  <si>
    <t>Ampliación y mejora red de ciclorrutas</t>
  </si>
  <si>
    <t>Red de ciclorrutas funcional y continua territorial, operada como un sistema de movilidad alternativo y completo en el territorio</t>
  </si>
  <si>
    <t>Matriz de control con Km ejecutados, continuidad efectiva, tiempos de trayecto, calidad percibida y relación entre centralidades</t>
  </si>
  <si>
    <t>Priorización de transporte alternativo</t>
  </si>
  <si>
    <t>Esquema de reorientación de jerarquía en la movilidad, hacia mayor nivel para la movilidad alternativa y sostenible, sobre el transporte motorizado</t>
  </si>
  <si>
    <t>Plan de movilidad sostenible
Estándares de diseño vial
Incentivos de movilidad sostenible
Integración modal</t>
  </si>
  <si>
    <t>SETP
TPCU
Integración modal</t>
  </si>
  <si>
    <t>Sistema urbano de transporte, con énfasis en centralidades y sectores de menor acceso</t>
  </si>
  <si>
    <t>L 5.1</t>
  </si>
  <si>
    <t>L 5.2</t>
  </si>
  <si>
    <t>L 5.3</t>
  </si>
  <si>
    <t>L 5.4</t>
  </si>
  <si>
    <t>L 5.5</t>
  </si>
  <si>
    <t>L 5.6</t>
  </si>
  <si>
    <t>L 5.7</t>
  </si>
  <si>
    <t>L 5.8</t>
  </si>
  <si>
    <t>L 5.9</t>
  </si>
  <si>
    <t>L 5.10</t>
  </si>
  <si>
    <t>L 5.11</t>
  </si>
  <si>
    <t>L 5.12</t>
  </si>
  <si>
    <t>L 5.13</t>
  </si>
  <si>
    <t>L 5.14</t>
  </si>
  <si>
    <t>Déficit y Acceso</t>
  </si>
  <si>
    <t>Vivienda Social</t>
  </si>
  <si>
    <t>Calidad</t>
  </si>
  <si>
    <t>Informalidad</t>
  </si>
  <si>
    <t>Formalización</t>
  </si>
  <si>
    <t>Localización y Riesgo</t>
  </si>
  <si>
    <t>Oferta insuficiente de vivienda formal, con déficit en sectores rurales, periurbano y sectores vulnerables</t>
  </si>
  <si>
    <t>Decreto 1077 2015
VIS VIP
Subsidios
APPs
Suelo servido</t>
  </si>
  <si>
    <t>Falta de trazabilidad del sistema</t>
  </si>
  <si>
    <t>Monitoreo del sistema de vivienda para el control urbano público</t>
  </si>
  <si>
    <t>Integración de oferta pública y privada</t>
  </si>
  <si>
    <t>APPs
Linkage
Cuota de vivienda social
Reparto de cargas y beneficios
Beneficios condicionados</t>
  </si>
  <si>
    <t>VIS VIP
Cuotas inclusionarias
OODC
Bonos de edificabilidad
Linkage
Banco de tierras</t>
  </si>
  <si>
    <t>Sector urbano consolidado, corredores con servicios y potencial evidente de desarrollo</t>
  </si>
  <si>
    <t>Desconexión entre vivienda social y servicios urbanos</t>
  </si>
  <si>
    <t>Condicionamiento de la vivienda social al acceso de servicios</t>
  </si>
  <si>
    <t>Inexistencia de mecanismos para garantizar mezcla de estratos</t>
  </si>
  <si>
    <t>Cuotas obligatorias
FAR adicional
Densidad condicionada
Alquiler social
Fast-track</t>
  </si>
  <si>
    <t>Decreto 1077 2015
NSR-10
Bonos e incentivos urbanos
Figuras obligatorias</t>
  </si>
  <si>
    <t>Deficiencia en entrega de proyectos de vivienda social</t>
  </si>
  <si>
    <t>Control de calidad y seguimiento riguroso a vivienda social</t>
  </si>
  <si>
    <t>Control de nueva informalidad</t>
  </si>
  <si>
    <t>SIG
Monitoreo activo de bordes urbanos
Banco de suelo
Oferta formal accesible</t>
  </si>
  <si>
    <t>Sistema de aleta temprana de asentamiento
Registro de nuevas ocupaciones apoyado en SIG
Mecanismos de respuesta institucional por caso</t>
  </si>
  <si>
    <t>Seguimiento de tiempos de tramite
Matriz de gestión por proceso y su estado</t>
  </si>
  <si>
    <t>Esquema de ejecución subsidiaria
Banco d en suelo
Fondos territoriales</t>
  </si>
  <si>
    <t>Programa de acceso a vivienda formal accesible</t>
  </si>
  <si>
    <t>Política de vivienda formal enfocada en eliminar déficit habitacional, sin que este degenere en expansión periférica, priorizando la consolidación urbana y la existencia de servicios urbanos de soporte</t>
  </si>
  <si>
    <t>Sector urbano general, enfocado en sectores fragmentados y con mayor déficit</t>
  </si>
  <si>
    <t>Sistema de monitoreo del déficit y situación de la vivienda, midiendo calidad y oferta, diferenciando entre suelo rural, periurbano y urbano, con lo cual conducirá políticas zonales actualizadas</t>
  </si>
  <si>
    <t>Observatorio urbano
SIG
Catastro
Línea base municipal</t>
  </si>
  <si>
    <t>Registro de proyectos de carácter mixto
Verificación de aportes territoriales asociados a la alianza
Seguimiento de cumplimiento de cuotas</t>
  </si>
  <si>
    <t>Proyectos de vivienda social VIS VIP en zonas de consolidación y expansión</t>
  </si>
  <si>
    <t>Segregación a periferias de la vivienda social</t>
  </si>
  <si>
    <t>Localización priorizada de vivienda social en zonas consolidadas</t>
  </si>
  <si>
    <t>Priorización de la vivienda social en suelo consolidado, garantizando mix de usos y permanencia social</t>
  </si>
  <si>
    <t>Fichas y estándares de control por localización de proyecto
Verificación de conectividad urbana (transporte, servicios urbanos)</t>
  </si>
  <si>
    <t>Licenciamiento condicionado
Cesiones urbanísticas
Estándares mínimos  zonales
Fichas de aptitud urbana
Reparto de cargas y beneficios</t>
  </si>
  <si>
    <t>Actas de verificación previa por proyecto
Inspección técnica en ejecución de proyectos</t>
  </si>
  <si>
    <t>Sector urbano con potencial de desarrollo, zonas de reubicación y diversificación de usos</t>
  </si>
  <si>
    <t>Incentivos para reducción de segregación socioespacial</t>
  </si>
  <si>
    <t>Mecanismos a través de incentivos de mezcla social en nuevos desarrollos, obligando la existencia de vivienda social en proyectos de mayor aprovechamiento urbanístico</t>
  </si>
  <si>
    <t>Matriz de seguimiento por proyecto, garantizando mezcla social, permanencia de población y acceso efectivo a la oferta</t>
  </si>
  <si>
    <t>Zonas de nuevo desarrollo, suelo de expansión,, renovación y densificación</t>
  </si>
  <si>
    <t>Baja calidad constructiva y urbana de la vivienda social</t>
  </si>
  <si>
    <t>Estándares mínimos de habitabilidad en vivienda social</t>
  </si>
  <si>
    <t>Matriz de cumplimiento para licencias
Ficha de control de habitabilidad y calidad por proyecto
Auditoria técnica previo a entrega y post-ocupación</t>
  </si>
  <si>
    <t>Control técnico, administrativo y financiero de proyectos de interés social, garantizando ejecución completa, calidad técnica y coherencia con el proyecto planteado y el producto entregado</t>
  </si>
  <si>
    <t>Asentamientos informales propios de la estructura urbana y en crecimiento continuo</t>
  </si>
  <si>
    <t>Mitigación de la expansión y programas de mejoramiento barrial</t>
  </si>
  <si>
    <t>Fichas por asentamiento
Matriz de metas de mejoramiento en campo físico y campos social
Evaluación post-intervención</t>
  </si>
  <si>
    <t>Asentamientos informales, identificados principalmente en zonas de riesgo y bordes urbanos</t>
  </si>
  <si>
    <t>Producción de informalidad en periferia urbana</t>
  </si>
  <si>
    <t>Esquema preventivo y restrictivo de nueva informalidad en zonas de expansión, combinando la vigilancia con oferta alternativa de asentamiento formal</t>
  </si>
  <si>
    <t>Borde urbano y zonas de expansión</t>
  </si>
  <si>
    <t>Desarticulación conflictiva entre ciudad formal y ciudad informal</t>
  </si>
  <si>
    <t>Integración urbana total</t>
  </si>
  <si>
    <t>Integración progresiva de asentamientos informales viables con la estructura urbana, a través de servicios, equipamientos y programas sociales de reconocimiento y tratamiento integral de la comunidad</t>
  </si>
  <si>
    <t>Regularización urbana
Mejoramiento barrial
Participación comunitaria</t>
  </si>
  <si>
    <t>Matriz de seguimiento de la integración física, funcional y social
Verificación periódica del avance en acceso efectivo de sectores incluidos</t>
  </si>
  <si>
    <t>Asentamientos informales cuyas características permiten que sea viable su conservación y consolidación</t>
  </si>
  <si>
    <t>Programas de legalización de suelo</t>
  </si>
  <si>
    <t>Ley 2044 2020
Regularización urbanística
Cesiones urbanísticas gratuitas
Fast-Track</t>
  </si>
  <si>
    <t>Asentamientos informales cuyas características permiten que sea viable su existencia; en muchos casos son piezas urbanas consolidadas, pero que la burocracia impide su legalización</t>
  </si>
  <si>
    <t>Sobre complejización burocracia y tiempos elevados para la gestión</t>
  </si>
  <si>
    <t>Agilización y síntesis de procesos</t>
  </si>
  <si>
    <t>Simplificación y modelos fast-track para la legalización, implementando rutas diferenciadas, ventanillas únicas, priorización de asentamientos y puntos de mayor impacto urbano</t>
  </si>
  <si>
    <t>Ley 2044 2020
Simplificación administrativa
Fast-track
Coordinación interinstitucional</t>
  </si>
  <si>
    <t>Asentamientos en suelos en riesgo o no aptos para el hábitat</t>
  </si>
  <si>
    <t>Regularización diferenciada y control de asentamientos</t>
  </si>
  <si>
    <t>Ley 2044 2020
Gestión de riesgo
Reasentamiento
Clasificación por viabilidad</t>
  </si>
  <si>
    <t>Ficha técnica-jurídica para evaluar cada asentamiento, trazando la decisión hacia permanencia, mitigación o reubicación</t>
  </si>
  <si>
    <t>Periferias en suelo de riesgo no mitigable y de protección, rondas hídricas, suelo no apto urbano</t>
  </si>
  <si>
    <t>Muy bajo índices de suelo legalizado</t>
  </si>
  <si>
    <t>Programa estructurado de regularización predial para asentamientos con viabilidad técnica y jurídica, soportado por accesibilidad, inversión urbana y desarrollo; incluirá mecanismos fast-track para acelerar procesos de suelo considerado "a legalizar", estancado actualmente, lineamiento L 5.13</t>
  </si>
  <si>
    <t>L 6.1</t>
  </si>
  <si>
    <t>L 6.2</t>
  </si>
  <si>
    <t>L 6.3</t>
  </si>
  <si>
    <t>L 6.4</t>
  </si>
  <si>
    <t>L 6.5</t>
  </si>
  <si>
    <t>L 6.6</t>
  </si>
  <si>
    <t>L 6.7</t>
  </si>
  <si>
    <t>L 6.8</t>
  </si>
  <si>
    <t>L 6.9</t>
  </si>
  <si>
    <t>Diversificación Económica</t>
  </si>
  <si>
    <t>Empleo</t>
  </si>
  <si>
    <t>Generación de Oportunidades</t>
  </si>
  <si>
    <t>Eliminación de Segregación</t>
  </si>
  <si>
    <t>Demografía Social</t>
  </si>
  <si>
    <t>Priorización de consolidación interna mediante densificación selectiva en suelo urbano, con enfoque a vacíos, corredores y piezas con capacidad real de soportar el desarrollo</t>
  </si>
  <si>
    <t>Sistema territorial de centralidades complementarias ,con el cual reducir la dependencia en pocos nodos y articular servicios urbanos en nodos periféricos y rurales</t>
  </si>
  <si>
    <t>Programa de reasentamiento focalizado para hogares en zonas críticas, articulado a oferta accesible y real de alternativa de vivienda, garantizando calidad de hábitat, conectividad urbana y mecanismos de permanencia social</t>
  </si>
  <si>
    <t>Estándares mínimos de calidad constructiva y urbana en vivienda social, garantizando un desempeño técnico, urbano y social de calidad</t>
  </si>
  <si>
    <t>Articulación de lineamientos restrictivos en ocupación de suelo no apto, con mecanismos de reubicación de asentamientos, oferta alternativa de hábitat, y acompañamiento social, donde todo asentamiento en suelo no apto debe ser reubicado</t>
  </si>
  <si>
    <t>Dependencia de actividades de baja escala y bajo desarrollo local</t>
  </si>
  <si>
    <t>Apoyo al emprendimiento y desarrollo comunitario</t>
  </si>
  <si>
    <t>Programas de emprendimiento
Microfinanzas comunitarias
Equipamientos productivos
Presupuestos comunitarios
PSH productiva</t>
  </si>
  <si>
    <t>Territorio general, con énfasis en sectores vulnerables, borde urbano y rural</t>
  </si>
  <si>
    <t>Alta informalidad laboral</t>
  </si>
  <si>
    <t>Formalización laboral</t>
  </si>
  <si>
    <t>Territorio general, con énfasis en sectores vulnerables</t>
  </si>
  <si>
    <t>Baja calidad de empleo formal</t>
  </si>
  <si>
    <t>Incentivo a empleo formal</t>
  </si>
  <si>
    <t>Gestor público para verificación de licencias por sector perimetral
Monitoreo activo por SIG
Reportes periódicos de suelo artificializado</t>
  </si>
  <si>
    <t>Acta de cumplimiento previo
Certificación de proveedores de servicios
Certificado público de accesibilidad urbana
Matriz de seguimiento municipal</t>
  </si>
  <si>
    <t>Esquema de protección de humedales, combinando delimitación actualizada, control de ocupación, restauración ecológica y vinculación al sistema de espacio público y la estructura ecológica</t>
  </si>
  <si>
    <t>Déficit de espacio público efectivo por hab</t>
  </si>
  <si>
    <t>Generación de nuevo espacio público con enfoque en zonas de alto déficit</t>
  </si>
  <si>
    <t>Generación de espacio público efectivo priorizado en sectores de mayor déficit mediante recuperación de suelo, materialización de cesiones y operaciones urbanas</t>
  </si>
  <si>
    <t>Crecimiento población sin propuesta proporcional de espacio público</t>
  </si>
  <si>
    <t>Recuperación y reconversión de suelo subutilizado en componente activo del espacio público, priorizando zonas de baja dotación y  de necesidad critica de soporte urbano</t>
  </si>
  <si>
    <t>Baja inversión en espacio público y débil efectividad del gasto</t>
  </si>
  <si>
    <t>Esquema de aprovechamiento por partes fijas y trazables de recursos capturados por LVC, orientados al espacio público</t>
  </si>
  <si>
    <t>Espacio público de baja calidad</t>
  </si>
  <si>
    <t>Rehabilitación integral del espacio público</t>
  </si>
  <si>
    <t>Proyecto de rehabilitación integral del espacio público mediante intervenciones enfocadas en calidad física, seguridad, accesibilidad, diversidad funcional y ambiental, y capacidad de apropiación comunitaria</t>
  </si>
  <si>
    <t>Espacio público existente con calidad deficiente y deterioro general</t>
  </si>
  <si>
    <t>Definición de estándares mínimos de iluminación, accesibilidad y mobiliario, junto a exigencia de planes de mantenimiento del espacio público</t>
  </si>
  <si>
    <t>Espacio público existente</t>
  </si>
  <si>
    <t>Bajo nivel de apropiación del espacio público y uso activo</t>
  </si>
  <si>
    <t>Activación del espacio público</t>
  </si>
  <si>
    <t>Programa de reactivación del espacio público mediante reconversión y enfoque en usos compatibles, frentes activos, permanencia, actividad urbana y articulación con sistemas urbanos</t>
  </si>
  <si>
    <t>Plan de ejecución prioritaria de cesiones no materializadas, priorizado por valor estratégico en espacio público, equipamientos y conectividad urbana</t>
  </si>
  <si>
    <t>Vinculación de cesiones con operaciones urbanas basadas en lógica continua de suelos subutilizados con espacio público y servicios urbanos</t>
  </si>
  <si>
    <t>Nueva estructura para rutas de transporte público, con enfoque no existir ninguna superposición, maximizar eficiencia y dar cobertura equitativa en el territorio</t>
  </si>
  <si>
    <t>Cobertura insuficiente de transporte público en sector rural y periurbano</t>
  </si>
  <si>
    <t>Creación de sistema integrado modal de transporte, que integre el transporte público, movilidad peatonal, ciclorrutas y la conectividad regional</t>
  </si>
  <si>
    <t>Monitoreo periódico del déficit por sector
Reporte público de oferta de vivienda y programas en ejecución</t>
  </si>
  <si>
    <t>Normativa de condicionamiento para aprobación de licencias, comprobando la conectividad urbana efectiva en servicios públicos, espacio público, equipamientos y transporte</t>
  </si>
  <si>
    <t>Reportes de avances
Reportes de acceso público financieros, de hitos de obra, registro de incidencia y modificaciones</t>
  </si>
  <si>
    <t>Programa integral de mejoramiento barrial para asentamientos informales, conformado por estudio de viabilidad de permanencia, inspección de infraestructura, espacio público, servicios y accesibilidad, articulado todo a intervenciones puntuales para mejorar condiciones y acompañar socialmente en la consolidación del asentamiento</t>
  </si>
  <si>
    <t>Inversión pública priorizada
APPs
Fondos zonales-urbanos
Matriz de estándares de diseño y calidad</t>
  </si>
  <si>
    <t>Inversión pública y reorientación de las cargas urbanas hacia la dotación de equipamientos en periferias y sector rural, reduciendo dependencia de centros consolidados</t>
  </si>
  <si>
    <t>POT actualizado
PDT
Plan maestro
Inversión pública focalizada
Fondos del LVC
Esquema diferencial rural</t>
  </si>
  <si>
    <t>Indicadores de cobertura por vereda
Matriz pública de avance territorial</t>
  </si>
  <si>
    <t>Base única territorial
Actualización periódica
Matriz de trazabilidad para cifras públicas</t>
  </si>
  <si>
    <t>Base de datos con información obtenida de indicadores oferta y calidad
Actualización periódica de base de datos
Fichas públicas sobre déficit y evolución de la implementación</t>
  </si>
  <si>
    <t>Dependencia de soluciones públicas o fragmentadas del mercado</t>
  </si>
  <si>
    <t>Articulación de la producción de vivienda pública y la privad bajo un esquema de corresponsabilidad, que garantice acceso universal, libre de especulación y calidad de vivienda y localización</t>
  </si>
  <si>
    <t>supervisión técnica
Interventoría pública
Trazabilidad financiera
Indicadores de desempeño</t>
  </si>
  <si>
    <t>Mejoramiento barrial
PSH
Inversión pública focalizada
Diseño participativo
Cofinanciación</t>
  </si>
  <si>
    <t>Clausulas de desempeño
Incentivos condicionados
Linkage
APPs
Seguimiento contractual</t>
  </si>
  <si>
    <t>Segregación socioespacial entre centralidades y periferias-ruralidad</t>
  </si>
  <si>
    <t>Integración territorial de sectores segregados</t>
  </si>
  <si>
    <t>Integración territorial coordinando dimensiones de vivienda, equipamientos, espacio público, movilidad y servicios, estructurando en plan en escala macro, no zonal</t>
  </si>
  <si>
    <t>Exclusión de periferias en el desarrollo</t>
  </si>
  <si>
    <t>Inversión focalizada en periferia</t>
  </si>
  <si>
    <t>LVC
Fondos finalistas y APPs
Presupuestos participativos
Linkage
Inversión pública focalizada</t>
  </si>
  <si>
    <t>Descentralización del acceso a oportunidades</t>
  </si>
  <si>
    <t>Planeamiento policéntrico
Equipamientos estratégicos
Incentivos a la mezcla funcional</t>
  </si>
  <si>
    <t>Pérdida de población en edad productiva y envejecimiento progresivo</t>
  </si>
  <si>
    <t>Territorio general, con enfoque en centros educativos superiores por su formación profesional</t>
  </si>
  <si>
    <t>Matrices de proyección
Equipamientos estratégicos
Planeación integrada previsiva
Seguimiento demográfico</t>
  </si>
  <si>
    <t>Matriz de indicadores de cobertura vegetal recuperada/meta de corredor o sección
publicación periódica de resultados
Indicadores de continuidad ambiental
Seguimiento de secciones prioritarias</t>
  </si>
  <si>
    <t>Matriz de cumplimiento
publicación periódica de proyectos, su estado y entrega de cesiones</t>
  </si>
  <si>
    <t>Matriz de identificación de asentamientos, con progreso
Definición de rutas criticas para legalización
Matriz de verificación de condiciones para legalización
publicación periódica de resultados de legalización</t>
  </si>
  <si>
    <t>Estructura económica dependiente de los servicios de débil base productiva</t>
  </si>
  <si>
    <t>Fomento de sectores productivos y diversificación económica</t>
  </si>
  <si>
    <t>Diversificación económica territorial a través del incentivo en actividades productivas, de innovación y de valor agregado</t>
  </si>
  <si>
    <t>Incentivo locales
Políticas de empleo local
Apoyo a clústeres o asociaciones
Articulación universidades-territorio
Programas de emprendimiento</t>
  </si>
  <si>
    <t>Indicadores de diversificación por sector económico
Matriz de seguimiento anual de innovación, empleo generado y promoción económica</t>
  </si>
  <si>
    <t>Programa de emprendimiento sectorial y de microeconómicas locales, fortaleciendo capacidades locales, en especial sectores críticos periféricos y rurales, vinculando el consumo de servicios regional con producción local y acceso al mercado</t>
  </si>
  <si>
    <t>Registro de unidades económicas potenciales y apoyadas
Indicadores de crecimiento y formalización
Monitoreo sectorial de desarrollo económico</t>
  </si>
  <si>
    <t>Política urbana de formalización laboral, mediante incentivos en actividades productivas locales (lineamientos L 6.1 Y 6.2), formalizando el acceso a oportunidades de desarrollo a través del empleo</t>
  </si>
  <si>
    <t>Incentivos a empleo local
Programas de inserción
Beneficios urbanísticos condicionados</t>
  </si>
  <si>
    <t>Seguimiento de tasas de formalización por periodo
Matriz de empleo generado por proyecto</t>
  </si>
  <si>
    <t>Incentivos territoriales en proyectos urbanos o económicos, condicionados al cumplimiento de metas de empleo formal estandarizado en estabilidad, vinculación y cumplimiento normativo</t>
  </si>
  <si>
    <t>Matriz de cumplimiento por proyecto participante
Verificación periódica de metas firmadas y condiciones</t>
  </si>
  <si>
    <t>Proyectos estratégicos del orden privado o publico, constructivos, urbanos, económicos o mixtos</t>
  </si>
  <si>
    <t>Mejoramiento urbano
Brownfields
Integración social participativa</t>
  </si>
  <si>
    <t>Seguimiento de cada dimensión
Indicadores de acceso y calidad urbana</t>
  </si>
  <si>
    <t>Priorización de inversión publica y privada, junto a programas de LVC para potenciar las periferias, dinamizando y descentralizando el desarrollo territorial</t>
  </si>
  <si>
    <t>Reportes de inversión pública y privada por sector
Balance periódico de ejecución por sector</t>
  </si>
  <si>
    <t>Concentración de oportunidades en centralidades de mayor desarrollo</t>
  </si>
  <si>
    <t>Programa de descentralización del acceso a oportunidades mediante localización estratégica de servicios, oferta de empleo, equipamientos y formulación de nuevas centralidades en sectores subordinados</t>
  </si>
  <si>
    <t>Matriz de medición de tiempos y distancias a oportunidades
Seguimiento por centralidad emergente</t>
  </si>
  <si>
    <t>Reequilibrio demográfico funcional e incentivos focalizados en potenciar, atraer y conservar población productiva</t>
  </si>
  <si>
    <t>Programa de desarrollo social y económico para la retención de población productiva  formada y/o atraída al territorio, apoyado con estándares de empleo, acceso a vivienda diferenciado y a servicios urbanos</t>
  </si>
  <si>
    <t>Política de vivienda
Incentivos al empleo local
Servicios de proximidad
Equipamientos estratégicos</t>
  </si>
  <si>
    <t>Indicadores demográficos actualizados periódicamente, siguiendo evolución demográfica</t>
  </si>
  <si>
    <t>Presión demográfica sobre servicios urbanos sin redistribución equitativa</t>
  </si>
  <si>
    <t>Redistribución territorial equitativa del soporte urbano</t>
  </si>
  <si>
    <t>Reorganización de la estructura de servicios urbanos, orientándose al comportamiento demográfico real, anticipando presiones, ejes de crecimiento y necesidades futuras</t>
  </si>
  <si>
    <t>Matriz de revisión periódica de cobertura y carga por sector
Actualización de necesidades por sector (actuales y proyectadas)</t>
  </si>
  <si>
    <t>L 7.1</t>
  </si>
  <si>
    <t>L 7.2</t>
  </si>
  <si>
    <t>L 7.3</t>
  </si>
  <si>
    <t>L 7.4</t>
  </si>
  <si>
    <t>L 7.5</t>
  </si>
  <si>
    <t>L 7.6</t>
  </si>
  <si>
    <t>L 7.7</t>
  </si>
  <si>
    <t>L 7.8</t>
  </si>
  <si>
    <t>L 7.9</t>
  </si>
  <si>
    <t>L 7.10</t>
  </si>
  <si>
    <t>L 7.11</t>
  </si>
  <si>
    <t>L 7.12</t>
  </si>
  <si>
    <t>L 7.13</t>
  </si>
  <si>
    <t>Instrumentos</t>
  </si>
  <si>
    <t>LVC</t>
  </si>
  <si>
    <t>Redistribución Equitativa</t>
  </si>
  <si>
    <t>Gestión de Suelo Público</t>
  </si>
  <si>
    <t>Trazabilidad y Control</t>
  </si>
  <si>
    <t>Captura y redistribución</t>
  </si>
  <si>
    <t>Riesgo de malversión</t>
  </si>
  <si>
    <t>Inclusión territorial</t>
  </si>
  <si>
    <t>Actualización e implementación efectiva del POT</t>
  </si>
  <si>
    <t>POT actualizado
Ley 388 1997
UAU
Desarrollo prioritario
Reparto de cargas y beneficios</t>
  </si>
  <si>
    <t>Desarticulación de normativa con aplicación practica en el territorio</t>
  </si>
  <si>
    <t>Reestructuración y simplificación normativa</t>
  </si>
  <si>
    <t>Matriz normativa
Negociables/no negociables
Reglas operativas
Fast Track</t>
  </si>
  <si>
    <t>Publicación de matrices
Seguimiento por licencia e instrumento ejecutado</t>
  </si>
  <si>
    <t>Aplicación efectiva de instrumentos de LVC</t>
  </si>
  <si>
    <t>Matriz con registro anual de hechos generadores, recaudo efectivo de este y destinación de dichos recursos por proyecto</t>
  </si>
  <si>
    <t>Desaprovechamiento del potencial fiscal y urbano del suelo</t>
  </si>
  <si>
    <t>FAR adicional
OODC
Bonos de edificabilidad
Linkage
Exacciones
Clausulas de desempeño</t>
  </si>
  <si>
    <t>Matriz para fichas de beneficios posibles por proyecto
Matriz de aportes obligatorios
Actas de cumplimiento para aprobación de licencia</t>
  </si>
  <si>
    <t>Nula relación entre inversión publica y beneficio territorial</t>
  </si>
  <si>
    <t>Indicadores de impact y valoración de inversión por proyecto
Evaluación post-inversión sobre resultados</t>
  </si>
  <si>
    <t>Creación de banco de tierras</t>
  </si>
  <si>
    <t>Reajuste del esquema de gestión hacia el control activo del suelo y dinamización productiva</t>
  </si>
  <si>
    <t>Reajuste de tierras
UAU
Banco de tierras
Planes parciales
Desarrollo prioritario</t>
  </si>
  <si>
    <t>Nula trazabilidad entre valor generado y valor capturado</t>
  </si>
  <si>
    <t>Seguimiento de recursos originados del LVC</t>
  </si>
  <si>
    <t>Seguimiento financiero
Observatorio urbano
Catastro
SIG
Auditoría pública</t>
  </si>
  <si>
    <t>Inexistencia de mecanismos para medir el desempeño de la gestión del suelo</t>
  </si>
  <si>
    <t>Indicadores de desempeño público</t>
  </si>
  <si>
    <t>Fondos generales que diluyen y no separan los recursos según la necesidad real del territorio</t>
  </si>
  <si>
    <t>Fondos separados y finalistas</t>
  </si>
  <si>
    <t>Esquema de fondos finalistas por foco de inversión, agrupando espacio público, vivienda social, servicios urbano, protección ambiental y equidad territorial, evitando inversión sin trazabilidad y perdida de recursos en focos subordinados</t>
  </si>
  <si>
    <t>Fondos finalistas
LVC
Presupuesto por tipo cerrado
Reglas de destino</t>
  </si>
  <si>
    <t>Clausulas y control sobre la rentabilidad extraordinaria</t>
  </si>
  <si>
    <t>Control financiero por proyecto, con enfoque en fase previa para licencia y post rentabilidad
Acta de exigibilidad contractual de retorno</t>
  </si>
  <si>
    <t>Cuota inclusionaria
Linkage
FAR adicional
Ley 388 1997</t>
  </si>
  <si>
    <t>Instrumentos de gestión de suelo sin traducción efectiva al territorio</t>
  </si>
  <si>
    <t>Actualización del POT, primando la incorporación de un esquema rígido de procedimientos, con el cual traducir los instrumentos planteados en proyectos efectivos</t>
  </si>
  <si>
    <t>Ruta critica de trabajo para actualización POT
Matriz de procedimientos para implementación de POT
Matriz de revisión periódica de cumplimiento</t>
  </si>
  <si>
    <t>Simplificación del marco normativo territorial mediante esquemas, matrices y criterios claros, enfatizando procedimientos, obligaciones y estándares, reduciendo la brecha en entre existencia y aplicación</t>
  </si>
  <si>
    <t>Nula captura de plusvalía generada por el desarrollo territorial</t>
  </si>
  <si>
    <t>Activación de captura de plusvalía a través de instrumentos propuestos y existentes, vinculando el mayor aprovechamiento del suelo con un retorno directo al espacio publico, vivienda social y servicios urbanos</t>
  </si>
  <si>
    <t>Plusvalía
Valorización
Ley 388 1997
Tasa de gestión y retorno
Cobros en dinero-suelo-obra-título</t>
  </si>
  <si>
    <t>Territorio general, énfasis en sectores norte y oriente, de mayor valorización</t>
  </si>
  <si>
    <t>Derechos urbanísticos condicionados a aportes</t>
  </si>
  <si>
    <t>Matriz de condiciones para beneficios económicos como mayor edificabilidad, densidad, flexibilidad normativa y fast-track, por contraprestaciones en favor del interés publico, maximizando el reparto de la valorización del suelo</t>
  </si>
  <si>
    <t>Sectores con nuevos desarrollos, con énfasis en el norte y norte, sectores de mayor valorización</t>
  </si>
  <si>
    <t>Nula orientación del valor generado por el desarrollo</t>
  </si>
  <si>
    <t>Asignación estratégica a de recursos a través de esquema operativo</t>
  </si>
  <si>
    <t>Plan de asignación de recursos captados hacia déficits y puntos críticos estructurantes identificados, agrupando servicios urbanos, espacio publico y vivienda, articulando su inversión con planes estratégicos de soporte</t>
  </si>
  <si>
    <t>Fondos finalistas
Programación de inversión periódica
LVC
Prepuesto territorial participativo
Linkage</t>
  </si>
  <si>
    <t>Matriz de asignación de recursos con indicadores estándar para aprobación
Reportes periódicos de ejecución por zona</t>
  </si>
  <si>
    <t>Territorio general, énfasis en sectores con mayores déficits y puntos críticos, especialmente periferias y sectores subordinados</t>
  </si>
  <si>
    <t>Inversión estratégica en espacio publico, vivienda social y servicios urbanos, soportados por mapa de problemas e identificación previa</t>
  </si>
  <si>
    <t>Esquema sobre LVC para redirigir recursos obligatoriamente sobre proyectos con n retorno directo al territorio en beneficio., soportándose con la identificación de problemáticas y definición de actuación previa</t>
  </si>
  <si>
    <t>Fondos finalistas separados
Plusvalía
Valorización
Cesiones urbanas
LVC
Matriz de reglas sobre inversión pública</t>
  </si>
  <si>
    <t>Territorio general, en proyectos a financiarse con recursos públicos</t>
  </si>
  <si>
    <t>inexistencia de predios estructurados base predial para fines públicos</t>
  </si>
  <si>
    <t>Banco de tierras enfocado en la adquisición de predios para consolidación urbana, oferta de servicios para reducción de déficits, protección ambiental y operaciones reequilibrio territorial</t>
  </si>
  <si>
    <t>Banco de tierras
Adquisición predial
Cesiones urbanas
Plusvalías
Reajuste de tierras</t>
  </si>
  <si>
    <t>Inventario de suelos potenciales para inversión
Matriz de banco de tierras con destino de trabajo e inversión
Informes periódicos de movimientos e intervenciones</t>
  </si>
  <si>
    <t>Territorio general, con énfasis en suelo de gran potencial urbano para mejora de índices de calidad de vida territorial y consolidación</t>
  </si>
  <si>
    <t>Débil capacidad de gestión del suelo publico</t>
  </si>
  <si>
    <t>Modelo activo del suelo, enfocado en adquirir, reorganizar, recapturar y redirigir el valor territorial captado en objetivos públicos, sea banco de tierras o proyectos estratégicos para mejora de la calidad de vida territorial</t>
  </si>
  <si>
    <t>Matriz de seguimiento de operaciones sobre suelo publico
Balance periódico de suelo gestionado y sus resultados en el fin publico establecido</t>
  </si>
  <si>
    <t>Territorio general, énfasis en suelos adquiridos para el banco de tierras e inversiones publicas</t>
  </si>
  <si>
    <t>Sistema de trazabilidad financiera para dar seguimiento a los recursos generados por cada etapa de recado, asignación, ejecución y resultado territorial</t>
  </si>
  <si>
    <t>Matriz de control financiero publico
Matriz de trazabilidad con datos por proyecto, instrumentos y resultados de auditorias periódicas</t>
  </si>
  <si>
    <t>Sistema de indicadores con los cuales medir el desempeño en LVC y la gestión del suelo, así como su efectividad, eficiencia , equidad y legitimidad de los instrumentos</t>
  </si>
  <si>
    <t>KPIs
Métricas de efectividad, eficiencia, equidad y legitimidad</t>
  </si>
  <si>
    <t>Matriz de seguimiento
Publicación periódica de indicadores, junto a evaluación de resultados por instrumento y proyectos estratégico</t>
  </si>
  <si>
    <t>Matriz de estadio financiero por fondo
Matriz de obligación sobre ejecuciones por destino
Esquema de control comunitario e institucional sobre inversión publica</t>
  </si>
  <si>
    <t>Susceptibilidad de que los beneficios normativos sean apropiados por la inversión privada, sin retorno real al territorio</t>
  </si>
  <si>
    <t>Clawback como clausula sobre proyectos que perciban beneficio urbano, donde si la rentabilidad supera la meta pactada el municipio capta parte del excedente para el interés publico</t>
  </si>
  <si>
    <t>Clawback
Matriz de rentabilidad
OODC
Bonos de edificabilidad
Convenios urbanos
APPs y asociaciones mixtas</t>
  </si>
  <si>
    <t>Nulo beneficio de la captura de valor hacia la integración social y reducción de la brecha socioespacial</t>
  </si>
  <si>
    <t>Cuotas de vivienda social, aportes obligatorios y vinculación social del LVC</t>
  </si>
  <si>
    <t>Matriz de mínimos obligatorios en vivienda social, servicios urbanos y espacio publico, como condición para captura de valor y beneficios urbanos, direccionando desde principio los recursos hacia un retorno social directo</t>
  </si>
  <si>
    <t>Matriz de verificación sobre cumplimiento de mínimos por proyecto
Control periódico por proyecto social y la calidad del aporte</t>
  </si>
  <si>
    <t>Territorio general, con énfasis en suelo de gran potencial urbano para mejora de índices de inclusión y reducción de brechas sociales</t>
  </si>
  <si>
    <t>L 8.1</t>
  </si>
  <si>
    <t>L 8.2</t>
  </si>
  <si>
    <t>L 8.3</t>
  </si>
  <si>
    <t>L 8.4</t>
  </si>
  <si>
    <t>L 8.5</t>
  </si>
  <si>
    <t>L 8.6</t>
  </si>
  <si>
    <t>L 8.7</t>
  </si>
  <si>
    <t>L 8.8</t>
  </si>
  <si>
    <t>L 8.9</t>
  </si>
  <si>
    <t>L 8.10</t>
  </si>
  <si>
    <t>L 8.11</t>
  </si>
  <si>
    <t>Coherencia Planificación</t>
  </si>
  <si>
    <t>Ejecución Pública</t>
  </si>
  <si>
    <t>Participación y Gobernanza Urbana</t>
  </si>
  <si>
    <t>Capacidad Institucional</t>
  </si>
  <si>
    <t>Transparencia y Acceso a Información</t>
  </si>
  <si>
    <t>Gestión Pública</t>
  </si>
  <si>
    <t>Incoherencia entre POT y planes desarrollo</t>
  </si>
  <si>
    <t>POT
PDT
Programación publica</t>
  </si>
  <si>
    <t>Condicionamiento de proyectos a trazabilidad directa entre el diagnostico y las prioridades del territorio, evitando actuaciones inconexas con las necesidades</t>
  </si>
  <si>
    <t>Programas de ejecución</t>
  </si>
  <si>
    <t>Cronogramas obligatorios
Matriz de responsabilidades</t>
  </si>
  <si>
    <t>Bajo control de la inversión publica y sus resultados</t>
  </si>
  <si>
    <t>Seguimiento de proyectos</t>
  </si>
  <si>
    <t>Observatorio urbano
SIG
Indicadores de desempeño</t>
  </si>
  <si>
    <t>Matriz de seguimiento por proyecto
Actas de evaluación post-proyecto, midiendo impacto y efectividad de inversión</t>
  </si>
  <si>
    <t>Fortalecimiento institucional</t>
  </si>
  <si>
    <t>Nulo control de la informalidad y expansión sobre suelo rural</t>
  </si>
  <si>
    <t>Mejora del control urbano</t>
  </si>
  <si>
    <t>Control territorial
Licencias diferenciadas
SIG
Catastro
Sistema de alerta territorial
Inspección territorial</t>
  </si>
  <si>
    <t>Mejora en la claridad operativa</t>
  </si>
  <si>
    <t>Presupuesto por resultados
Indicadores territoriales
Seguimiento financiero
Fondos finalistas</t>
  </si>
  <si>
    <t>Baja capacidad de gestión del desarrollo, control de la expansión y la informalidad</t>
  </si>
  <si>
    <t>Esquema de mejora progresiva de la capacidad institucional a través de mecanismos de gestión de suelo, control de expansión y de informalidad, enfocados en consolidar una estructura solida y justificada normativamente, logrando validez  a través de la garantía técnica y aceptación de actores</t>
  </si>
  <si>
    <t>Fortalecimiento institucional
Formación técnica
Unidades de gestión urbana
Coordinación intersectorial</t>
  </si>
  <si>
    <t>Indicadores de capacidad operativa
Matriz de seguimiento de personal, funciones, tiempos de respuesta, efectividad y proyectos intervenidos</t>
  </si>
  <si>
    <t>Esquema de control urbano fortalecido a través de un sistema preventivo y operativo, que articule licencias, inspección territorial, cartografía por SIG y respuesta rápida ante nuevas ocupaciones</t>
  </si>
  <si>
    <t>Registro por SIG de actuaciones urbanas
Matriz de acción institucional trazable por caso</t>
  </si>
  <si>
    <t>Territorio general, con énfasis en sectores vulnerables a nuevos desarrollos, sean informal o de ocupación rural</t>
  </si>
  <si>
    <t>Ineficiencia administrativa en la ejecución de instruments</t>
  </si>
  <si>
    <t>Matriz con roles, competencias y responsabilidades institucionales en la gestión del suelo, coordinando rutas de trabajo orientadas la eficiencia máxima en procesos públicos</t>
  </si>
  <si>
    <t>Matrices RACI
Manuales operativos
Protocolos interinstitucionales</t>
  </si>
  <si>
    <t>Actualización periódica de protocolos y manuales
Revisión periódica de eficiencia institucional</t>
  </si>
  <si>
    <t>Inconsistencias en información territorial</t>
  </si>
  <si>
    <t>Sistema de información integrado</t>
  </si>
  <si>
    <t xml:space="preserve">Creación de sistema de información integrado territorial, de actualización constante, unificando todo dato catastral, licencias, proyectos, gestión del suelo, servicios urbanos, riesgos y acciones publica, democratizando el acceso a la información </t>
  </si>
  <si>
    <t>Observatorio urbano
SIG
Catastro
Datos abiertos
Integración de bases de datos</t>
  </si>
  <si>
    <t>Actualización periódica del sistema
Control periódico de fuentes y estado del servicio
Registro de consultas y acceso de usuarios</t>
  </si>
  <si>
    <t>Nulo control del impact de inversiones y orientación de la gestión publica</t>
  </si>
  <si>
    <t>Gestión publica orientada a resultados</t>
  </si>
  <si>
    <t>Planes de ejecución presupuestal enfocados exclusivamente en resultados medibles, con énfasis en  resultados con máximo de beneficio territorial</t>
  </si>
  <si>
    <t>Matrices de relación entre inversión y resultado directo, con valores de potencial y calificación de beneficio final
Evaluación post-inversión del impacto territorial</t>
  </si>
  <si>
    <t>Territorio general con énfasis en proyectos macro y estratégicos</t>
  </si>
  <si>
    <t>Articulación entre POT y PDT mediante relaciones entre diagnostico, objetivos y proyectos</t>
  </si>
  <si>
    <t>Actualización del POT orientando en una lógica coherente con el PDT existente, obligando a seguir la misma coherencia los futuros PDT, asegurando proyectos públicos con relación directa a largo plazo en diagnósticos, objetivos y prioridades</t>
  </si>
  <si>
    <t>Matriz de estudio para evaluar coherencia entre partes del POT y PDT
Revisión periódica de consistencia entre instrumentos</t>
  </si>
  <si>
    <t>Falta de alineación entre instrumentos planteados y su ejecución real</t>
  </si>
  <si>
    <t>Matrices de alineación entre diagnostico y proyectos</t>
  </si>
  <si>
    <t>Fichas de proyecto
Matrices de evaluación
Revisión técnica publica</t>
  </si>
  <si>
    <t>Matriz de control para aprobación de licencia
Actas de alineación metodológica previa a presupuesto</t>
  </si>
  <si>
    <t>Territorio general, con énfasis en proyectos nuevos</t>
  </si>
  <si>
    <t>Seguimiento débil de proyectos</t>
  </si>
  <si>
    <t>Programa de ejecución obligatoria de proyectos, con metas, tiempos, recursos y responsables definidos por acta previa</t>
  </si>
  <si>
    <t>Matriz de seguimiento periódico por hitos de proyectos
Control de presupuestos ejecutados y avance físico de proyectos</t>
  </si>
  <si>
    <t>Territorio general, con énfasis en proyectos nuevos y en curso</t>
  </si>
  <si>
    <t>Sistema de seguimiento de inversión publica por proyectos, relacionando inversión con resultado territorial y su ejecución física</t>
  </si>
  <si>
    <t>Participación comunitaria segregada a la consulta no vinculante</t>
  </si>
  <si>
    <t>Participación vinculante en procesos de decisión</t>
  </si>
  <si>
    <t>Modelo de participación vinculante en decisiones territoriales, priorizando proyectos estratégicos zonales y de impacto directo en dicha comunidad</t>
  </si>
  <si>
    <t>Mesas de codiseño
Diseño participativo
Presupuesto participativo
Comités de seguimiento</t>
  </si>
  <si>
    <t>Matriz de registro de acuerdos
Matriz de control del proceso participativo
Reporte periódico con evidencias de participación y resultados</t>
  </si>
  <si>
    <t>Territorio general, con énfasis en proyectos locales y zonales, con mayor incidencia comunitaria potencial</t>
  </si>
  <si>
    <t>Nula inclusión de población en periferias y zona rural en procesos participativos</t>
  </si>
  <si>
    <t>Procesos diferenciados de inclusión territorial</t>
  </si>
  <si>
    <t>Programa de inclusión territorial efectiva en periferias y sector rural, con énfasis en proyectos de planificación y descentralización de la toma de decisiones</t>
  </si>
  <si>
    <t>Diseño participativo
Participación descentralizada
Mesas locales
Cartografía social</t>
  </si>
  <si>
    <t>Indicadores de participación por territorio priorizado
Matriz periódica con balance de representación comunitaria diferenciada</t>
  </si>
  <si>
    <t>Anexo 26</t>
  </si>
  <si>
    <t>Anexo 27</t>
  </si>
  <si>
    <t>Anexo 29</t>
  </si>
  <si>
    <t>Anexo 1</t>
  </si>
  <si>
    <t>Anexo 59</t>
  </si>
  <si>
    <t>Anexo 55</t>
  </si>
  <si>
    <t>Anexo 43</t>
  </si>
  <si>
    <t>Anexo 49</t>
  </si>
  <si>
    <t>Anexo 51</t>
  </si>
  <si>
    <t>Anexo 50</t>
  </si>
  <si>
    <t>Anexo 20</t>
  </si>
  <si>
    <t>Anexo 4</t>
  </si>
  <si>
    <t>Anexo 60</t>
  </si>
  <si>
    <t>Anexo 12</t>
  </si>
  <si>
    <t>Anexo 24</t>
  </si>
  <si>
    <t>Anexo 57</t>
  </si>
  <si>
    <t>Anexo 56</t>
  </si>
  <si>
    <t>Anexo 30</t>
  </si>
  <si>
    <t>Anexo 6</t>
  </si>
  <si>
    <t>Anexo 48</t>
  </si>
  <si>
    <t>Anexo 36</t>
  </si>
  <si>
    <t>Anexo 9</t>
  </si>
  <si>
    <t>Anexo 13</t>
  </si>
  <si>
    <t>Anexo 11</t>
  </si>
  <si>
    <t>Anexo 37</t>
  </si>
  <si>
    <t>Anexo 32</t>
  </si>
  <si>
    <t>Anexo 17</t>
  </si>
  <si>
    <t>Anexo 53</t>
  </si>
  <si>
    <t>Anexo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</si>
</sst>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 "/>
    </font>
    <font>
      <sz val="11"/>
      <name val="Aptos "/>
    </font>
    <font>
      <sz val="8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1"/>
      <color rgb="FFFF0000"/>
      <name val="Aptos"/>
      <family val="2"/>
    </font>
    <font>
      <sz val="11"/>
      <color theme="0" tint="-0.49998474074526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B9D"/>
        <bgColor indexed="64"/>
      </patternFill>
    </fill>
    <fill>
      <patternFill patternType="solid">
        <fgColor rgb="FFBFB42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12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9">
    <dxf>
      <font>
        <color auto="1"/>
      </font>
      <fill>
        <patternFill>
          <fgColor auto="1"/>
          <bgColor rgb="FFDAF2D0"/>
        </patternFill>
      </fill>
    </dxf>
    <dxf>
      <font>
        <color auto="1"/>
      </font>
      <fill>
        <patternFill>
          <fgColor rgb="FFB5E6A2"/>
          <bgColor rgb="FFB5E6A2"/>
        </patternFill>
      </fill>
    </dxf>
    <dxf>
      <font>
        <color auto="1"/>
      </font>
      <fill>
        <patternFill>
          <fgColor rgb="FFBDDB9D"/>
          <bgColor rgb="FFBDDB9D"/>
        </patternFill>
      </fill>
    </dxf>
    <dxf>
      <font>
        <color auto="1"/>
      </font>
      <fill>
        <patternFill>
          <fgColor rgb="FF92D050"/>
          <bgColor rgb="FF92D050"/>
        </patternFill>
      </fill>
    </dxf>
    <dxf>
      <font>
        <color auto="1"/>
      </font>
      <fill>
        <patternFill>
          <fgColor rgb="FFBFB42B"/>
          <bgColor rgb="FFBFB42B"/>
        </patternFill>
      </fill>
    </dxf>
    <dxf>
      <font>
        <b val="0"/>
        <i val="0"/>
        <strike val="0"/>
      </font>
      <fill>
        <patternFill>
          <bgColor theme="3" tint="0.749961851863155"/>
        </patternFill>
      </fill>
    </dxf>
    <dxf>
      <font>
        <b val="0"/>
        <i val="0"/>
        <strike val="0"/>
      </font>
      <fill>
        <patternFill>
          <bgColor rgb="FFFFFF99"/>
        </patternFill>
      </fill>
    </dxf>
    <dxf>
      <font>
        <b val="0"/>
        <i val="0"/>
        <strike val="0"/>
      </font>
      <fill>
        <patternFill>
          <bgColor rgb="FFFFD347"/>
        </patternFill>
      </fill>
    </dxf>
    <dxf>
      <font>
        <b val="0"/>
        <i val="0"/>
        <strike val="0"/>
      </font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FF6969"/>
      <color rgb="FFFFFF99"/>
      <color rgb="FFBFB42B"/>
      <color rgb="FF92D050"/>
      <color rgb="FFBDDB9D"/>
      <color rgb="FFB5E6A2"/>
      <color rgb="FFDAF2D0"/>
      <color rgb="FFFFD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v>PRIORIDAD</c:v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MATRIZ!$N$2:$N$5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MATRIZ!$M$2:$M$5</c:f>
              <c:numCache>
                <c:formatCode>General</c:formatCode>
                <c:ptCount val="4"/>
                <c:pt idx="0">
                  <c:v>35</c:v>
                </c:pt>
                <c:pt idx="1">
                  <c:v>40</c:v>
                </c:pt>
                <c:pt idx="2">
                  <c:v>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F-411D-A11A-0558498A006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v>TEMPORALIDAD</c:v>
          </c:tx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MATRIZ!$N$6:$N$10</c:f>
              <c:strCache>
                <c:ptCount val="5"/>
                <c:pt idx="0">
                  <c:v>Corto</c:v>
                </c:pt>
                <c:pt idx="1">
                  <c:v>Corto-Medio</c:v>
                </c:pt>
                <c:pt idx="2">
                  <c:v>Medio</c:v>
                </c:pt>
                <c:pt idx="3">
                  <c:v>Medio-Largo</c:v>
                </c:pt>
                <c:pt idx="4">
                  <c:v>Largo</c:v>
                </c:pt>
              </c:strCache>
            </c:strRef>
          </c:cat>
          <c:val>
            <c:numRef>
              <c:f>MATRIZ!$M$6:$M$10</c:f>
              <c:numCache>
                <c:formatCode>General</c:formatCode>
                <c:ptCount val="5"/>
                <c:pt idx="0">
                  <c:v>29</c:v>
                </c:pt>
                <c:pt idx="1">
                  <c:v>17</c:v>
                </c:pt>
                <c:pt idx="2">
                  <c:v>14</c:v>
                </c:pt>
                <c:pt idx="3">
                  <c:v>15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3-49CE-B0DE-8640BDE1EFB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289560</xdr:colOff>
      <xdr:row>1</xdr:row>
      <xdr:rowOff>659130</xdr:rowOff>
    </xdr:from>
    <xdr:to>
      <xdr:col>19</xdr:col>
      <xdr:colOff>632460</xdr:colOff>
      <xdr:row>4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1DCD65-C6FC-0035-D968-D85ABDDEA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321067</xdr:colOff>
      <xdr:row>5</xdr:row>
      <xdr:rowOff>49659</xdr:rowOff>
    </xdr:from>
    <xdr:to>
      <xdr:col>19</xdr:col>
      <xdr:colOff>654977</xdr:colOff>
      <xdr:row>7</xdr:row>
      <xdr:rowOff>960634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C204E2-044E-6BDA-B8B7-49B2E9EBC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E14E-C27B-4543-9878-5CFC49CDF79A}">
  <sheetPr>
    <pageSetUpPr fitToPage="1"/>
  </sheetPr>
  <dimension ref="A1:N93"/>
  <sheetViews>
    <sheetView tabSelected="1" zoomScale="143" zoomScaleNormal="100" workbookViewId="0">
      <selection activeCell="U8" sqref="U8"/>
    </sheetView>
  </sheetViews>
  <sheetFormatPr baseColWidth="10" defaultColWidth="12.33203125" defaultRowHeight="14.4"/>
  <cols>
    <col min="1" max="1" width="12.109375" style="25" customWidth="1"/>
    <col min="2" max="2" width="14.5546875" style="28" customWidth="1"/>
    <col min="3" max="3" width="46.21875" style="26" customWidth="1"/>
    <col min="4" max="4" width="29" style="26" customWidth="1"/>
    <col min="5" max="5" width="49.21875" style="26" customWidth="1"/>
    <col min="6" max="6" width="30.44140625" style="26" customWidth="1"/>
    <col min="7" max="7" width="22.6640625" style="26" customWidth="1"/>
    <col min="8" max="8" width="19.88671875" style="23" bestFit="1" customWidth="1"/>
    <col min="9" max="9" width="19.88671875" style="23" customWidth="1"/>
    <col min="10" max="10" width="24.5546875" style="24" customWidth="1"/>
    <col min="11" max="11" width="18.33203125" style="23" customWidth="1"/>
    <col min="12" max="16384" width="12.33203125" style="23"/>
  </cols>
  <sheetData>
    <row r="1" spans="1:14">
      <c r="A1" s="29" t="s">
        <v>2</v>
      </c>
      <c r="B1" s="30" t="s">
        <v>0</v>
      </c>
      <c r="C1" s="29" t="s">
        <v>9</v>
      </c>
      <c r="D1" s="33" t="s">
        <v>10</v>
      </c>
      <c r="E1" s="37" t="s">
        <v>11</v>
      </c>
      <c r="F1" s="35" t="s">
        <v>12</v>
      </c>
      <c r="G1" s="29" t="s">
        <v>27</v>
      </c>
      <c r="H1" s="29" t="s">
        <v>1</v>
      </c>
      <c r="I1" s="29" t="s">
        <v>13</v>
      </c>
      <c r="J1" s="29" t="s">
        <v>14</v>
      </c>
      <c r="K1" s="29" t="s">
        <v>26</v>
      </c>
    </row>
    <row r="2" spans="1:14" ht="96.6">
      <c r="A2" s="22" t="s">
        <v>15</v>
      </c>
      <c r="B2" s="53" t="s">
        <v>25</v>
      </c>
      <c r="C2" s="11" t="s">
        <v>34</v>
      </c>
      <c r="D2" s="18" t="s">
        <v>35</v>
      </c>
      <c r="E2" s="20" t="s">
        <v>414</v>
      </c>
      <c r="F2" s="19" t="s">
        <v>40</v>
      </c>
      <c r="G2" s="11" t="s">
        <v>62</v>
      </c>
      <c r="H2" s="21" t="s">
        <v>8</v>
      </c>
      <c r="I2" s="21" t="s">
        <v>24</v>
      </c>
      <c r="J2" s="11" t="s">
        <v>36</v>
      </c>
      <c r="K2" s="11" t="s">
        <v>700</v>
      </c>
      <c r="M2" s="23">
        <f>COUNTIF($H$2:$H$93, "Crítica")</f>
        <v>35</v>
      </c>
      <c r="N2" s="23" t="s">
        <v>8</v>
      </c>
    </row>
    <row r="3" spans="1:14" ht="82.8">
      <c r="A3" s="22" t="s">
        <v>16</v>
      </c>
      <c r="B3" s="53"/>
      <c r="C3" s="11" t="s">
        <v>37</v>
      </c>
      <c r="D3" s="18" t="s">
        <v>38</v>
      </c>
      <c r="E3" s="20" t="s">
        <v>63</v>
      </c>
      <c r="F3" s="19" t="s">
        <v>39</v>
      </c>
      <c r="G3" s="11" t="s">
        <v>64</v>
      </c>
      <c r="H3" s="21" t="s">
        <v>4</v>
      </c>
      <c r="I3" s="21" t="s">
        <v>21</v>
      </c>
      <c r="J3" s="22" t="s">
        <v>41</v>
      </c>
      <c r="K3" s="22" t="s">
        <v>691</v>
      </c>
      <c r="M3" s="23">
        <f t="shared" ref="M3:M5" si="0">COUNTIF($H$2:$H$93, "Alta")</f>
        <v>40</v>
      </c>
      <c r="N3" s="23" t="s">
        <v>4</v>
      </c>
    </row>
    <row r="4" spans="1:14" ht="82.8">
      <c r="A4" s="22" t="s">
        <v>17</v>
      </c>
      <c r="B4" s="53" t="s">
        <v>32</v>
      </c>
      <c r="C4" s="11" t="s">
        <v>42</v>
      </c>
      <c r="D4" s="18" t="s">
        <v>65</v>
      </c>
      <c r="E4" s="20" t="s">
        <v>66</v>
      </c>
      <c r="F4" s="19" t="s">
        <v>67</v>
      </c>
      <c r="G4" s="11" t="s">
        <v>428</v>
      </c>
      <c r="H4" s="21" t="s">
        <v>8</v>
      </c>
      <c r="I4" s="21" t="s">
        <v>21</v>
      </c>
      <c r="J4" s="22" t="s">
        <v>43</v>
      </c>
      <c r="K4" s="22" t="s">
        <v>701</v>
      </c>
      <c r="M4" s="23">
        <f>COUNTIF($H$2:$H$93, "Media")</f>
        <v>16</v>
      </c>
      <c r="N4" s="23" t="s">
        <v>5</v>
      </c>
    </row>
    <row r="5" spans="1:14" ht="110.4">
      <c r="A5" s="22" t="s">
        <v>18</v>
      </c>
      <c r="B5" s="53"/>
      <c r="C5" s="11" t="s">
        <v>44</v>
      </c>
      <c r="D5" s="18" t="s">
        <v>45</v>
      </c>
      <c r="E5" s="20" t="s">
        <v>68</v>
      </c>
      <c r="F5" s="19" t="s">
        <v>46</v>
      </c>
      <c r="G5" s="11" t="s">
        <v>429</v>
      </c>
      <c r="H5" s="21" t="s">
        <v>8</v>
      </c>
      <c r="I5" s="21" t="s">
        <v>21</v>
      </c>
      <c r="J5" s="22" t="s">
        <v>69</v>
      </c>
      <c r="K5" s="22" t="s">
        <v>691</v>
      </c>
      <c r="M5" s="23">
        <f>COUNTIF($H$2:$H$93, "Baja")</f>
        <v>1</v>
      </c>
      <c r="N5" s="23" t="s">
        <v>3</v>
      </c>
    </row>
    <row r="6" spans="1:14" ht="75.599999999999994" customHeight="1">
      <c r="A6" s="22" t="s">
        <v>19</v>
      </c>
      <c r="B6" s="53"/>
      <c r="C6" s="11" t="s">
        <v>70</v>
      </c>
      <c r="D6" s="18" t="s">
        <v>47</v>
      </c>
      <c r="E6" s="20" t="s">
        <v>71</v>
      </c>
      <c r="F6" s="19" t="s">
        <v>72</v>
      </c>
      <c r="G6" s="11" t="s">
        <v>48</v>
      </c>
      <c r="H6" s="21" t="s">
        <v>4</v>
      </c>
      <c r="I6" s="21" t="s">
        <v>6</v>
      </c>
      <c r="J6" s="22" t="s">
        <v>49</v>
      </c>
      <c r="K6" s="22" t="s">
        <v>702</v>
      </c>
      <c r="M6" s="23">
        <f>COUNTIF($I$2:$I$93, "Corto")</f>
        <v>29</v>
      </c>
      <c r="N6" s="23" t="s">
        <v>21</v>
      </c>
    </row>
    <row r="7" spans="1:14" ht="69">
      <c r="A7" s="22" t="s">
        <v>28</v>
      </c>
      <c r="B7" s="53" t="s">
        <v>33</v>
      </c>
      <c r="C7" s="11" t="s">
        <v>50</v>
      </c>
      <c r="D7" s="18" t="s">
        <v>51</v>
      </c>
      <c r="E7" s="20" t="s">
        <v>73</v>
      </c>
      <c r="F7" s="19" t="s">
        <v>52</v>
      </c>
      <c r="G7" s="11" t="s">
        <v>74</v>
      </c>
      <c r="H7" s="21" t="s">
        <v>8</v>
      </c>
      <c r="I7" s="21" t="s">
        <v>22</v>
      </c>
      <c r="J7" s="22" t="s">
        <v>75</v>
      </c>
      <c r="K7" s="22" t="s">
        <v>685</v>
      </c>
      <c r="M7" s="23">
        <f>COUNTIF($I$2:$I$93, "Corto-Medio")</f>
        <v>17</v>
      </c>
      <c r="N7" s="23" t="s">
        <v>24</v>
      </c>
    </row>
    <row r="8" spans="1:14" ht="96.6">
      <c r="A8" s="22" t="s">
        <v>29</v>
      </c>
      <c r="B8" s="53"/>
      <c r="C8" s="11" t="s">
        <v>53</v>
      </c>
      <c r="D8" s="18" t="s">
        <v>54</v>
      </c>
      <c r="E8" s="20" t="s">
        <v>76</v>
      </c>
      <c r="F8" s="19" t="s">
        <v>55</v>
      </c>
      <c r="G8" s="11" t="s">
        <v>77</v>
      </c>
      <c r="H8" s="21" t="s">
        <v>5</v>
      </c>
      <c r="I8" s="21" t="s">
        <v>22</v>
      </c>
      <c r="J8" s="22" t="s">
        <v>78</v>
      </c>
      <c r="K8" s="22" t="s">
        <v>691</v>
      </c>
      <c r="M8" s="23">
        <f>COUNTIF($I$2:$I$93, "Medio")</f>
        <v>14</v>
      </c>
      <c r="N8" s="23" t="s">
        <v>6</v>
      </c>
    </row>
    <row r="9" spans="1:14" ht="82.8">
      <c r="A9" s="22" t="s">
        <v>30</v>
      </c>
      <c r="B9" s="53"/>
      <c r="C9" s="11" t="s">
        <v>79</v>
      </c>
      <c r="D9" s="18" t="s">
        <v>56</v>
      </c>
      <c r="E9" s="20" t="s">
        <v>415</v>
      </c>
      <c r="F9" s="19" t="s">
        <v>57</v>
      </c>
      <c r="G9" s="11" t="s">
        <v>80</v>
      </c>
      <c r="H9" s="21" t="s">
        <v>4</v>
      </c>
      <c r="I9" s="21" t="s">
        <v>23</v>
      </c>
      <c r="J9" s="22" t="s">
        <v>58</v>
      </c>
      <c r="K9" s="22" t="s">
        <v>693</v>
      </c>
      <c r="M9" s="23">
        <f>COUNTIF($I$2:$I$93, "Medio-Largo")</f>
        <v>15</v>
      </c>
      <c r="N9" s="23" t="s">
        <v>22</v>
      </c>
    </row>
    <row r="10" spans="1:14" ht="97.2" thickBot="1">
      <c r="A10" s="44" t="s">
        <v>31</v>
      </c>
      <c r="B10" s="45" t="s">
        <v>25</v>
      </c>
      <c r="C10" s="46" t="s">
        <v>81</v>
      </c>
      <c r="D10" s="47" t="s">
        <v>59</v>
      </c>
      <c r="E10" s="48" t="s">
        <v>82</v>
      </c>
      <c r="F10" s="49" t="s">
        <v>60</v>
      </c>
      <c r="G10" s="46" t="s">
        <v>83</v>
      </c>
      <c r="H10" s="50" t="s">
        <v>4</v>
      </c>
      <c r="I10" s="50" t="s">
        <v>22</v>
      </c>
      <c r="J10" s="44" t="s">
        <v>61</v>
      </c>
      <c r="K10" s="44" t="s">
        <v>700</v>
      </c>
      <c r="M10" s="23">
        <f>COUNTIF($I$2:$I$93, "Largo")</f>
        <v>17</v>
      </c>
      <c r="N10" s="23" t="s">
        <v>23</v>
      </c>
    </row>
    <row r="11" spans="1:14" s="16" customFormat="1" ht="94.2" customHeight="1" thickTop="1">
      <c r="A11" s="38" t="s">
        <v>84</v>
      </c>
      <c r="B11" s="52" t="s">
        <v>93</v>
      </c>
      <c r="C11" s="39" t="s">
        <v>97</v>
      </c>
      <c r="D11" s="40" t="s">
        <v>98</v>
      </c>
      <c r="E11" s="41" t="s">
        <v>197</v>
      </c>
      <c r="F11" s="42" t="s">
        <v>99</v>
      </c>
      <c r="G11" s="39" t="s">
        <v>198</v>
      </c>
      <c r="H11" s="43" t="s">
        <v>8</v>
      </c>
      <c r="I11" s="43" t="s">
        <v>24</v>
      </c>
      <c r="J11" s="38" t="s">
        <v>100</v>
      </c>
      <c r="K11" s="38" t="s">
        <v>691</v>
      </c>
    </row>
    <row r="12" spans="1:14" s="17" customFormat="1" ht="79.2" customHeight="1">
      <c r="A12" s="22" t="s">
        <v>85</v>
      </c>
      <c r="B12" s="53"/>
      <c r="C12" s="11" t="s">
        <v>101</v>
      </c>
      <c r="D12" s="18" t="s">
        <v>102</v>
      </c>
      <c r="E12" s="20" t="s">
        <v>199</v>
      </c>
      <c r="F12" s="19" t="s">
        <v>200</v>
      </c>
      <c r="G12" s="11" t="s">
        <v>201</v>
      </c>
      <c r="H12" s="21" t="s">
        <v>4</v>
      </c>
      <c r="I12" s="21" t="s">
        <v>21</v>
      </c>
      <c r="J12" s="22" t="s">
        <v>103</v>
      </c>
      <c r="K12" s="22" t="s">
        <v>697</v>
      </c>
    </row>
    <row r="13" spans="1:14" ht="78" customHeight="1">
      <c r="A13" s="22" t="s">
        <v>86</v>
      </c>
      <c r="B13" s="53" t="s">
        <v>94</v>
      </c>
      <c r="C13" s="11" t="s">
        <v>202</v>
      </c>
      <c r="D13" s="18" t="s">
        <v>104</v>
      </c>
      <c r="E13" s="20" t="s">
        <v>203</v>
      </c>
      <c r="F13" s="19" t="s">
        <v>204</v>
      </c>
      <c r="G13" s="11" t="s">
        <v>205</v>
      </c>
      <c r="H13" s="21" t="s">
        <v>8</v>
      </c>
      <c r="I13" s="21" t="s">
        <v>24</v>
      </c>
      <c r="J13" s="22" t="s">
        <v>206</v>
      </c>
      <c r="K13" s="22" t="s">
        <v>699</v>
      </c>
    </row>
    <row r="14" spans="1:14" ht="144">
      <c r="A14" s="22" t="s">
        <v>87</v>
      </c>
      <c r="B14" s="53"/>
      <c r="C14" s="27" t="s">
        <v>207</v>
      </c>
      <c r="D14" s="34" t="s">
        <v>208</v>
      </c>
      <c r="E14" s="20" t="s">
        <v>209</v>
      </c>
      <c r="F14" s="36" t="s">
        <v>210</v>
      </c>
      <c r="G14" s="27" t="s">
        <v>478</v>
      </c>
      <c r="H14" s="21" t="s">
        <v>4</v>
      </c>
      <c r="I14" s="21" t="s">
        <v>6</v>
      </c>
      <c r="J14" s="22" t="s">
        <v>211</v>
      </c>
      <c r="K14" s="22" t="s">
        <v>703</v>
      </c>
    </row>
    <row r="15" spans="1:14" ht="57.6">
      <c r="A15" s="22" t="s">
        <v>88</v>
      </c>
      <c r="B15" s="53" t="s">
        <v>95</v>
      </c>
      <c r="C15" s="27" t="s">
        <v>212</v>
      </c>
      <c r="D15" s="34" t="s">
        <v>213</v>
      </c>
      <c r="E15" s="20" t="s">
        <v>214</v>
      </c>
      <c r="F15" s="36" t="s">
        <v>105</v>
      </c>
      <c r="G15" s="27" t="s">
        <v>106</v>
      </c>
      <c r="H15" s="21" t="s">
        <v>8</v>
      </c>
      <c r="I15" s="21" t="s">
        <v>21</v>
      </c>
      <c r="J15" s="22" t="s">
        <v>107</v>
      </c>
      <c r="K15" s="22" t="s">
        <v>704</v>
      </c>
    </row>
    <row r="16" spans="1:14" ht="115.2">
      <c r="A16" s="22" t="s">
        <v>89</v>
      </c>
      <c r="B16" s="53"/>
      <c r="C16" s="27" t="s">
        <v>215</v>
      </c>
      <c r="D16" s="34" t="s">
        <v>108</v>
      </c>
      <c r="E16" s="20" t="s">
        <v>416</v>
      </c>
      <c r="F16" s="36" t="s">
        <v>109</v>
      </c>
      <c r="G16" s="27" t="s">
        <v>216</v>
      </c>
      <c r="H16" s="21" t="s">
        <v>4</v>
      </c>
      <c r="I16" s="21" t="s">
        <v>22</v>
      </c>
      <c r="J16" s="22" t="s">
        <v>217</v>
      </c>
      <c r="K16" s="22" t="s">
        <v>688</v>
      </c>
    </row>
    <row r="17" spans="1:11" ht="86.4">
      <c r="A17" s="22" t="s">
        <v>90</v>
      </c>
      <c r="B17" s="54" t="s">
        <v>96</v>
      </c>
      <c r="C17" s="27" t="s">
        <v>218</v>
      </c>
      <c r="D17" s="34" t="s">
        <v>219</v>
      </c>
      <c r="E17" s="20" t="s">
        <v>220</v>
      </c>
      <c r="F17" s="36" t="s">
        <v>110</v>
      </c>
      <c r="G17" s="27" t="s">
        <v>221</v>
      </c>
      <c r="H17" s="21" t="s">
        <v>8</v>
      </c>
      <c r="I17" s="21" t="s">
        <v>22</v>
      </c>
      <c r="J17" s="22" t="s">
        <v>222</v>
      </c>
      <c r="K17" s="22" t="s">
        <v>703</v>
      </c>
    </row>
    <row r="18" spans="1:11" ht="72">
      <c r="A18" s="22" t="s">
        <v>91</v>
      </c>
      <c r="B18" s="54"/>
      <c r="C18" s="27" t="s">
        <v>111</v>
      </c>
      <c r="D18" s="34" t="s">
        <v>112</v>
      </c>
      <c r="E18" s="20" t="s">
        <v>430</v>
      </c>
      <c r="F18" s="36" t="s">
        <v>113</v>
      </c>
      <c r="G18" s="27" t="s">
        <v>223</v>
      </c>
      <c r="H18" s="21" t="s">
        <v>5</v>
      </c>
      <c r="I18" s="21" t="s">
        <v>6</v>
      </c>
      <c r="J18" s="22" t="s">
        <v>224</v>
      </c>
      <c r="K18" s="22" t="s">
        <v>703</v>
      </c>
    </row>
    <row r="19" spans="1:11" ht="97.2" thickBot="1">
      <c r="A19" s="44" t="s">
        <v>92</v>
      </c>
      <c r="B19" s="55"/>
      <c r="C19" s="46" t="s">
        <v>225</v>
      </c>
      <c r="D19" s="47" t="s">
        <v>226</v>
      </c>
      <c r="E19" s="48" t="s">
        <v>227</v>
      </c>
      <c r="F19" s="49" t="s">
        <v>228</v>
      </c>
      <c r="G19" s="46" t="s">
        <v>229</v>
      </c>
      <c r="H19" s="50" t="s">
        <v>5</v>
      </c>
      <c r="I19" s="50" t="s">
        <v>23</v>
      </c>
      <c r="J19" s="44" t="s">
        <v>230</v>
      </c>
      <c r="K19" s="44" t="s">
        <v>703</v>
      </c>
    </row>
    <row r="20" spans="1:11" ht="69.599999999999994" thickTop="1">
      <c r="A20" s="38" t="s">
        <v>118</v>
      </c>
      <c r="B20" s="52" t="s">
        <v>114</v>
      </c>
      <c r="C20" s="39" t="s">
        <v>431</v>
      </c>
      <c r="D20" s="40" t="s">
        <v>432</v>
      </c>
      <c r="E20" s="41" t="s">
        <v>433</v>
      </c>
      <c r="F20" s="42" t="s">
        <v>131</v>
      </c>
      <c r="G20" s="39" t="s">
        <v>231</v>
      </c>
      <c r="H20" s="43" t="s">
        <v>8</v>
      </c>
      <c r="I20" s="43" t="s">
        <v>24</v>
      </c>
      <c r="J20" s="38" t="s">
        <v>232</v>
      </c>
      <c r="K20" s="38" t="s">
        <v>705</v>
      </c>
    </row>
    <row r="21" spans="1:11" ht="96.6">
      <c r="A21" s="22" t="s">
        <v>119</v>
      </c>
      <c r="B21" s="53"/>
      <c r="C21" s="11" t="s">
        <v>434</v>
      </c>
      <c r="D21" s="18" t="s">
        <v>233</v>
      </c>
      <c r="E21" s="20" t="s">
        <v>234</v>
      </c>
      <c r="F21" s="19" t="s">
        <v>132</v>
      </c>
      <c r="G21" s="11" t="s">
        <v>235</v>
      </c>
      <c r="H21" s="21" t="s">
        <v>4</v>
      </c>
      <c r="I21" s="21" t="s">
        <v>21</v>
      </c>
      <c r="J21" s="22" t="s">
        <v>230</v>
      </c>
      <c r="K21" s="22" t="s">
        <v>705</v>
      </c>
    </row>
    <row r="22" spans="1:11" ht="82.8">
      <c r="A22" s="22" t="s">
        <v>120</v>
      </c>
      <c r="B22" s="53"/>
      <c r="C22" s="11" t="s">
        <v>133</v>
      </c>
      <c r="D22" s="18" t="s">
        <v>236</v>
      </c>
      <c r="E22" s="20" t="s">
        <v>435</v>
      </c>
      <c r="F22" s="19" t="s">
        <v>237</v>
      </c>
      <c r="G22" s="11" t="s">
        <v>238</v>
      </c>
      <c r="H22" s="21" t="s">
        <v>5</v>
      </c>
      <c r="I22" s="21" t="s">
        <v>23</v>
      </c>
      <c r="J22" s="22" t="s">
        <v>134</v>
      </c>
      <c r="K22" s="22" t="s">
        <v>705</v>
      </c>
    </row>
    <row r="23" spans="1:11" ht="72">
      <c r="A23" s="22" t="s">
        <v>121</v>
      </c>
      <c r="B23" s="53"/>
      <c r="C23" s="27" t="s">
        <v>436</v>
      </c>
      <c r="D23" s="34" t="s">
        <v>239</v>
      </c>
      <c r="E23" s="20" t="s">
        <v>437</v>
      </c>
      <c r="F23" s="36" t="s">
        <v>240</v>
      </c>
      <c r="G23" s="27" t="s">
        <v>241</v>
      </c>
      <c r="H23" s="21" t="s">
        <v>4</v>
      </c>
      <c r="I23" s="21" t="s">
        <v>21</v>
      </c>
      <c r="J23" s="22" t="s">
        <v>242</v>
      </c>
      <c r="K23" s="22" t="s">
        <v>705</v>
      </c>
    </row>
    <row r="24" spans="1:11" ht="76.2" customHeight="1">
      <c r="A24" s="22" t="s">
        <v>122</v>
      </c>
      <c r="B24" s="53" t="s">
        <v>115</v>
      </c>
      <c r="C24" s="27" t="s">
        <v>438</v>
      </c>
      <c r="D24" s="34" t="s">
        <v>439</v>
      </c>
      <c r="E24" s="20" t="s">
        <v>440</v>
      </c>
      <c r="F24" s="36" t="s">
        <v>456</v>
      </c>
      <c r="G24" s="27" t="s">
        <v>243</v>
      </c>
      <c r="H24" s="21" t="s">
        <v>4</v>
      </c>
      <c r="I24" s="21" t="s">
        <v>6</v>
      </c>
      <c r="J24" s="22" t="s">
        <v>441</v>
      </c>
      <c r="K24" s="22" t="s">
        <v>705</v>
      </c>
    </row>
    <row r="25" spans="1:11" ht="86.4">
      <c r="A25" s="22" t="s">
        <v>123</v>
      </c>
      <c r="B25" s="53"/>
      <c r="C25" s="27" t="s">
        <v>244</v>
      </c>
      <c r="D25" s="34" t="s">
        <v>245</v>
      </c>
      <c r="E25" s="20" t="s">
        <v>442</v>
      </c>
      <c r="F25" s="36" t="s">
        <v>246</v>
      </c>
      <c r="G25" s="27" t="s">
        <v>247</v>
      </c>
      <c r="H25" s="21" t="s">
        <v>5</v>
      </c>
      <c r="I25" s="21" t="s">
        <v>21</v>
      </c>
      <c r="J25" s="22" t="s">
        <v>443</v>
      </c>
      <c r="K25" s="22" t="s">
        <v>705</v>
      </c>
    </row>
    <row r="26" spans="1:11" ht="79.8" customHeight="1">
      <c r="A26" s="22" t="s">
        <v>124</v>
      </c>
      <c r="B26" s="53"/>
      <c r="C26" s="27" t="s">
        <v>444</v>
      </c>
      <c r="D26" s="34" t="s">
        <v>445</v>
      </c>
      <c r="E26" s="20" t="s">
        <v>446</v>
      </c>
      <c r="F26" s="36" t="s">
        <v>248</v>
      </c>
      <c r="G26" s="27" t="s">
        <v>135</v>
      </c>
      <c r="H26" s="21" t="s">
        <v>5</v>
      </c>
      <c r="I26" s="21" t="s">
        <v>6</v>
      </c>
      <c r="J26" s="22" t="s">
        <v>249</v>
      </c>
      <c r="K26" s="22" t="s">
        <v>689</v>
      </c>
    </row>
    <row r="27" spans="1:11" ht="60.6" customHeight="1">
      <c r="A27" s="22" t="s">
        <v>125</v>
      </c>
      <c r="B27" s="54" t="s">
        <v>116</v>
      </c>
      <c r="C27" s="27" t="s">
        <v>136</v>
      </c>
      <c r="D27" s="34" t="s">
        <v>250</v>
      </c>
      <c r="E27" s="20" t="s">
        <v>251</v>
      </c>
      <c r="F27" s="36" t="s">
        <v>252</v>
      </c>
      <c r="G27" s="27" t="s">
        <v>479</v>
      </c>
      <c r="H27" s="21" t="s">
        <v>8</v>
      </c>
      <c r="I27" s="21" t="s">
        <v>21</v>
      </c>
      <c r="J27" s="22" t="s">
        <v>253</v>
      </c>
      <c r="K27" s="22" t="s">
        <v>706</v>
      </c>
    </row>
    <row r="28" spans="1:11" ht="72">
      <c r="A28" s="22" t="s">
        <v>126</v>
      </c>
      <c r="B28" s="54"/>
      <c r="C28" s="27" t="s">
        <v>254</v>
      </c>
      <c r="D28" s="34" t="s">
        <v>255</v>
      </c>
      <c r="E28" s="20" t="s">
        <v>447</v>
      </c>
      <c r="F28" s="36" t="s">
        <v>350</v>
      </c>
      <c r="G28" s="27" t="s">
        <v>256</v>
      </c>
      <c r="H28" s="21" t="s">
        <v>4</v>
      </c>
      <c r="I28" s="21" t="s">
        <v>21</v>
      </c>
      <c r="J28" s="22" t="s">
        <v>137</v>
      </c>
      <c r="K28" s="22" t="s">
        <v>693</v>
      </c>
    </row>
    <row r="29" spans="1:11" ht="86.4">
      <c r="A29" s="22" t="s">
        <v>127</v>
      </c>
      <c r="B29" s="54"/>
      <c r="C29" s="27" t="s">
        <v>257</v>
      </c>
      <c r="D29" s="34" t="s">
        <v>258</v>
      </c>
      <c r="E29" s="20" t="s">
        <v>448</v>
      </c>
      <c r="F29" s="36" t="s">
        <v>138</v>
      </c>
      <c r="G29" s="27" t="s">
        <v>259</v>
      </c>
      <c r="H29" s="21" t="s">
        <v>5</v>
      </c>
      <c r="I29" s="21" t="s">
        <v>22</v>
      </c>
      <c r="J29" s="22" t="s">
        <v>260</v>
      </c>
      <c r="K29" s="22" t="s">
        <v>705</v>
      </c>
    </row>
    <row r="30" spans="1:11" ht="86.4">
      <c r="A30" s="22" t="s">
        <v>128</v>
      </c>
      <c r="B30" s="54" t="s">
        <v>117</v>
      </c>
      <c r="C30" s="27" t="s">
        <v>261</v>
      </c>
      <c r="D30" s="34" t="s">
        <v>262</v>
      </c>
      <c r="E30" s="20" t="s">
        <v>263</v>
      </c>
      <c r="F30" s="36" t="s">
        <v>264</v>
      </c>
      <c r="G30" s="27" t="s">
        <v>265</v>
      </c>
      <c r="H30" s="21" t="s">
        <v>8</v>
      </c>
      <c r="I30" s="21" t="s">
        <v>24</v>
      </c>
      <c r="J30" s="22" t="s">
        <v>266</v>
      </c>
      <c r="K30" s="22" t="s">
        <v>693</v>
      </c>
    </row>
    <row r="31" spans="1:11" ht="86.4">
      <c r="A31" s="22" t="s">
        <v>129</v>
      </c>
      <c r="B31" s="54"/>
      <c r="C31" s="27" t="s">
        <v>267</v>
      </c>
      <c r="D31" s="34" t="s">
        <v>268</v>
      </c>
      <c r="E31" s="20" t="s">
        <v>457</v>
      </c>
      <c r="F31" s="36" t="s">
        <v>269</v>
      </c>
      <c r="G31" s="27" t="s">
        <v>139</v>
      </c>
      <c r="H31" s="21" t="s">
        <v>4</v>
      </c>
      <c r="I31" s="21" t="s">
        <v>6</v>
      </c>
      <c r="J31" s="22" t="s">
        <v>270</v>
      </c>
      <c r="K31" s="22" t="s">
        <v>693</v>
      </c>
    </row>
    <row r="32" spans="1:11" ht="55.8" thickBot="1">
      <c r="A32" s="44" t="s">
        <v>130</v>
      </c>
      <c r="B32" s="55"/>
      <c r="C32" s="46" t="s">
        <v>140</v>
      </c>
      <c r="D32" s="47" t="s">
        <v>271</v>
      </c>
      <c r="E32" s="48" t="s">
        <v>272</v>
      </c>
      <c r="F32" s="49" t="s">
        <v>273</v>
      </c>
      <c r="G32" s="46" t="s">
        <v>141</v>
      </c>
      <c r="H32" s="50" t="s">
        <v>5</v>
      </c>
      <c r="I32" s="50" t="s">
        <v>23</v>
      </c>
      <c r="J32" s="44" t="s">
        <v>142</v>
      </c>
      <c r="K32" s="44" t="s">
        <v>693</v>
      </c>
    </row>
    <row r="33" spans="1:11" ht="83.4" thickTop="1">
      <c r="A33" s="38" t="s">
        <v>143</v>
      </c>
      <c r="B33" s="52" t="s">
        <v>157</v>
      </c>
      <c r="C33" s="39" t="s">
        <v>162</v>
      </c>
      <c r="D33" s="40" t="s">
        <v>163</v>
      </c>
      <c r="E33" s="41" t="s">
        <v>274</v>
      </c>
      <c r="F33" s="42" t="s">
        <v>458</v>
      </c>
      <c r="G33" s="39" t="s">
        <v>459</v>
      </c>
      <c r="H33" s="43" t="s">
        <v>8</v>
      </c>
      <c r="I33" s="43" t="s">
        <v>22</v>
      </c>
      <c r="J33" s="38" t="s">
        <v>164</v>
      </c>
      <c r="K33" s="38" t="s">
        <v>685</v>
      </c>
    </row>
    <row r="34" spans="1:11" ht="55.2">
      <c r="A34" s="22" t="s">
        <v>144</v>
      </c>
      <c r="B34" s="53"/>
      <c r="C34" s="11" t="s">
        <v>165</v>
      </c>
      <c r="D34" s="18" t="s">
        <v>166</v>
      </c>
      <c r="E34" s="20" t="s">
        <v>275</v>
      </c>
      <c r="F34" s="19" t="s">
        <v>167</v>
      </c>
      <c r="G34" s="11" t="s">
        <v>276</v>
      </c>
      <c r="H34" s="21" t="s">
        <v>4</v>
      </c>
      <c r="I34" s="21" t="s">
        <v>23</v>
      </c>
      <c r="J34" s="22" t="s">
        <v>164</v>
      </c>
      <c r="K34" s="22" t="s">
        <v>685</v>
      </c>
    </row>
    <row r="35" spans="1:11" ht="69">
      <c r="A35" s="22" t="s">
        <v>145</v>
      </c>
      <c r="B35" s="53"/>
      <c r="C35" s="11" t="s">
        <v>277</v>
      </c>
      <c r="D35" s="18" t="s">
        <v>278</v>
      </c>
      <c r="E35" s="20" t="s">
        <v>279</v>
      </c>
      <c r="F35" s="19" t="s">
        <v>280</v>
      </c>
      <c r="G35" s="11" t="s">
        <v>460</v>
      </c>
      <c r="H35" s="21" t="s">
        <v>4</v>
      </c>
      <c r="I35" s="21" t="s">
        <v>21</v>
      </c>
      <c r="J35" s="22" t="s">
        <v>142</v>
      </c>
      <c r="K35" s="22" t="s">
        <v>685</v>
      </c>
    </row>
    <row r="36" spans="1:11" ht="72">
      <c r="A36" s="22" t="s">
        <v>146</v>
      </c>
      <c r="B36" s="53" t="s">
        <v>158</v>
      </c>
      <c r="C36" s="27" t="s">
        <v>281</v>
      </c>
      <c r="D36" s="34" t="s">
        <v>282</v>
      </c>
      <c r="E36" s="20" t="s">
        <v>283</v>
      </c>
      <c r="F36" s="36" t="s">
        <v>284</v>
      </c>
      <c r="G36" s="27" t="s">
        <v>285</v>
      </c>
      <c r="H36" s="21" t="s">
        <v>4</v>
      </c>
      <c r="I36" s="21" t="s">
        <v>6</v>
      </c>
      <c r="J36" s="22" t="s">
        <v>142</v>
      </c>
      <c r="K36" s="22" t="s">
        <v>685</v>
      </c>
    </row>
    <row r="37" spans="1:11" ht="86.4">
      <c r="A37" s="22" t="s">
        <v>147</v>
      </c>
      <c r="B37" s="53"/>
      <c r="C37" s="27" t="s">
        <v>168</v>
      </c>
      <c r="D37" s="34" t="s">
        <v>286</v>
      </c>
      <c r="E37" s="20" t="s">
        <v>287</v>
      </c>
      <c r="F37" s="36" t="s">
        <v>169</v>
      </c>
      <c r="G37" s="27" t="s">
        <v>170</v>
      </c>
      <c r="H37" s="21" t="s">
        <v>8</v>
      </c>
      <c r="I37" s="21" t="s">
        <v>24</v>
      </c>
      <c r="J37" s="22" t="s">
        <v>142</v>
      </c>
      <c r="K37" s="22" t="s">
        <v>687</v>
      </c>
    </row>
    <row r="38" spans="1:11" ht="129.6">
      <c r="A38" s="22" t="s">
        <v>148</v>
      </c>
      <c r="B38" s="53" t="s">
        <v>159</v>
      </c>
      <c r="C38" s="27" t="s">
        <v>288</v>
      </c>
      <c r="D38" s="34" t="s">
        <v>171</v>
      </c>
      <c r="E38" s="20" t="s">
        <v>289</v>
      </c>
      <c r="F38" s="36" t="s">
        <v>290</v>
      </c>
      <c r="G38" s="27" t="s">
        <v>291</v>
      </c>
      <c r="H38" s="21" t="s">
        <v>8</v>
      </c>
      <c r="I38" s="21" t="s">
        <v>22</v>
      </c>
      <c r="J38" s="22" t="s">
        <v>292</v>
      </c>
      <c r="K38" s="22" t="s">
        <v>707</v>
      </c>
    </row>
    <row r="39" spans="1:11" ht="129.6">
      <c r="A39" s="22" t="s">
        <v>149</v>
      </c>
      <c r="B39" s="53"/>
      <c r="C39" s="27" t="s">
        <v>172</v>
      </c>
      <c r="D39" s="34" t="s">
        <v>173</v>
      </c>
      <c r="E39" s="20" t="s">
        <v>293</v>
      </c>
      <c r="F39" s="36" t="s">
        <v>294</v>
      </c>
      <c r="G39" s="27" t="s">
        <v>295</v>
      </c>
      <c r="H39" s="21" t="s">
        <v>4</v>
      </c>
      <c r="I39" s="21" t="s">
        <v>24</v>
      </c>
      <c r="J39" s="22" t="s">
        <v>142</v>
      </c>
      <c r="K39" s="22" t="s">
        <v>707</v>
      </c>
    </row>
    <row r="40" spans="1:11" ht="72">
      <c r="A40" s="22" t="s">
        <v>150</v>
      </c>
      <c r="B40" s="53"/>
      <c r="C40" s="27" t="s">
        <v>296</v>
      </c>
      <c r="D40" s="34" t="s">
        <v>297</v>
      </c>
      <c r="E40" s="20" t="s">
        <v>298</v>
      </c>
      <c r="F40" s="36" t="s">
        <v>174</v>
      </c>
      <c r="G40" s="27" t="s">
        <v>299</v>
      </c>
      <c r="H40" s="21" t="s">
        <v>4</v>
      </c>
      <c r="I40" s="21" t="s">
        <v>24</v>
      </c>
      <c r="J40" s="22" t="s">
        <v>270</v>
      </c>
      <c r="K40" s="22" t="s">
        <v>683</v>
      </c>
    </row>
    <row r="41" spans="1:11" ht="129.6">
      <c r="A41" s="22" t="s">
        <v>151</v>
      </c>
      <c r="B41" s="54" t="s">
        <v>160</v>
      </c>
      <c r="C41" s="27" t="s">
        <v>175</v>
      </c>
      <c r="D41" s="34" t="s">
        <v>176</v>
      </c>
      <c r="E41" s="20" t="s">
        <v>300</v>
      </c>
      <c r="F41" s="36" t="s">
        <v>301</v>
      </c>
      <c r="G41" s="27" t="s">
        <v>177</v>
      </c>
      <c r="H41" s="21" t="s">
        <v>4</v>
      </c>
      <c r="I41" s="21" t="s">
        <v>6</v>
      </c>
      <c r="J41" s="22" t="s">
        <v>302</v>
      </c>
      <c r="K41" s="22" t="s">
        <v>679</v>
      </c>
    </row>
    <row r="42" spans="1:11" ht="86.4">
      <c r="A42" s="22" t="s">
        <v>152</v>
      </c>
      <c r="B42" s="54"/>
      <c r="C42" s="27" t="s">
        <v>178</v>
      </c>
      <c r="D42" s="34" t="s">
        <v>303</v>
      </c>
      <c r="E42" s="20" t="s">
        <v>304</v>
      </c>
      <c r="F42" s="36" t="s">
        <v>179</v>
      </c>
      <c r="G42" s="27" t="s">
        <v>305</v>
      </c>
      <c r="H42" s="21" t="s">
        <v>4</v>
      </c>
      <c r="I42" s="21" t="s">
        <v>6</v>
      </c>
      <c r="J42" s="22" t="s">
        <v>186</v>
      </c>
      <c r="K42" s="22" t="s">
        <v>680</v>
      </c>
    </row>
    <row r="43" spans="1:11" ht="72">
      <c r="A43" s="22" t="s">
        <v>153</v>
      </c>
      <c r="B43" s="54"/>
      <c r="C43" s="27" t="s">
        <v>181</v>
      </c>
      <c r="D43" s="34" t="s">
        <v>306</v>
      </c>
      <c r="E43" s="20" t="s">
        <v>307</v>
      </c>
      <c r="F43" s="36" t="s">
        <v>308</v>
      </c>
      <c r="G43" s="27" t="s">
        <v>182</v>
      </c>
      <c r="H43" s="21" t="s">
        <v>5</v>
      </c>
      <c r="I43" s="21" t="s">
        <v>22</v>
      </c>
      <c r="J43" s="22" t="s">
        <v>180</v>
      </c>
      <c r="K43" s="22" t="s">
        <v>681</v>
      </c>
    </row>
    <row r="44" spans="1:11" ht="86.4">
      <c r="A44" s="22" t="s">
        <v>154</v>
      </c>
      <c r="B44" s="54" t="s">
        <v>161</v>
      </c>
      <c r="C44" s="27" t="s">
        <v>183</v>
      </c>
      <c r="D44" s="34" t="s">
        <v>184</v>
      </c>
      <c r="E44" s="20" t="s">
        <v>449</v>
      </c>
      <c r="F44" s="36" t="s">
        <v>309</v>
      </c>
      <c r="G44" s="27" t="s">
        <v>185</v>
      </c>
      <c r="H44" s="21" t="s">
        <v>4</v>
      </c>
      <c r="I44" s="21" t="s">
        <v>21</v>
      </c>
      <c r="J44" s="22" t="s">
        <v>310</v>
      </c>
      <c r="K44" s="22" t="s">
        <v>681</v>
      </c>
    </row>
    <row r="45" spans="1:11" ht="100.8">
      <c r="A45" s="22" t="s">
        <v>155</v>
      </c>
      <c r="B45" s="54"/>
      <c r="C45" s="27" t="s">
        <v>450</v>
      </c>
      <c r="D45" s="34" t="s">
        <v>189</v>
      </c>
      <c r="E45" s="20" t="s">
        <v>190</v>
      </c>
      <c r="F45" s="36" t="s">
        <v>191</v>
      </c>
      <c r="G45" s="27" t="s">
        <v>192</v>
      </c>
      <c r="H45" s="21" t="s">
        <v>8</v>
      </c>
      <c r="I45" s="21" t="s">
        <v>24</v>
      </c>
      <c r="J45" s="22" t="s">
        <v>187</v>
      </c>
      <c r="K45" s="22" t="s">
        <v>682</v>
      </c>
    </row>
    <row r="46" spans="1:11" ht="97.2" thickBot="1">
      <c r="A46" s="44" t="s">
        <v>156</v>
      </c>
      <c r="B46" s="55"/>
      <c r="C46" s="46" t="s">
        <v>193</v>
      </c>
      <c r="D46" s="47" t="s">
        <v>188</v>
      </c>
      <c r="E46" s="48" t="s">
        <v>451</v>
      </c>
      <c r="F46" s="49" t="s">
        <v>194</v>
      </c>
      <c r="G46" s="46" t="s">
        <v>195</v>
      </c>
      <c r="H46" s="50" t="s">
        <v>5</v>
      </c>
      <c r="I46" s="50" t="s">
        <v>22</v>
      </c>
      <c r="J46" s="44" t="s">
        <v>196</v>
      </c>
      <c r="K46" s="44" t="s">
        <v>681</v>
      </c>
    </row>
    <row r="47" spans="1:11" ht="69.599999999999994" thickTop="1">
      <c r="A47" s="38" t="s">
        <v>311</v>
      </c>
      <c r="B47" s="52" t="s">
        <v>325</v>
      </c>
      <c r="C47" s="39" t="s">
        <v>331</v>
      </c>
      <c r="D47" s="40" t="s">
        <v>351</v>
      </c>
      <c r="E47" s="41" t="s">
        <v>352</v>
      </c>
      <c r="F47" s="42" t="s">
        <v>332</v>
      </c>
      <c r="G47" s="39" t="s">
        <v>452</v>
      </c>
      <c r="H47" s="43" t="s">
        <v>8</v>
      </c>
      <c r="I47" s="43" t="s">
        <v>24</v>
      </c>
      <c r="J47" s="38" t="s">
        <v>353</v>
      </c>
      <c r="K47" s="38" t="s">
        <v>683</v>
      </c>
    </row>
    <row r="48" spans="1:11" ht="124.2">
      <c r="A48" s="22" t="s">
        <v>312</v>
      </c>
      <c r="B48" s="53"/>
      <c r="C48" s="11" t="s">
        <v>333</v>
      </c>
      <c r="D48" s="18" t="s">
        <v>334</v>
      </c>
      <c r="E48" s="20" t="s">
        <v>354</v>
      </c>
      <c r="F48" s="19" t="s">
        <v>355</v>
      </c>
      <c r="G48" s="11" t="s">
        <v>461</v>
      </c>
      <c r="H48" s="21" t="s">
        <v>4</v>
      </c>
      <c r="I48" s="21" t="s">
        <v>21</v>
      </c>
      <c r="J48" s="22" t="s">
        <v>142</v>
      </c>
      <c r="K48" s="22" t="s">
        <v>682</v>
      </c>
    </row>
    <row r="49" spans="1:11" ht="96.6">
      <c r="A49" s="22" t="s">
        <v>313</v>
      </c>
      <c r="B49" s="53"/>
      <c r="C49" s="11" t="s">
        <v>462</v>
      </c>
      <c r="D49" s="18" t="s">
        <v>335</v>
      </c>
      <c r="E49" s="20" t="s">
        <v>463</v>
      </c>
      <c r="F49" s="19" t="s">
        <v>336</v>
      </c>
      <c r="G49" s="11" t="s">
        <v>356</v>
      </c>
      <c r="H49" s="21" t="s">
        <v>4</v>
      </c>
      <c r="I49" s="21" t="s">
        <v>6</v>
      </c>
      <c r="J49" s="22" t="s">
        <v>357</v>
      </c>
      <c r="K49" s="22" t="s">
        <v>684</v>
      </c>
    </row>
    <row r="50" spans="1:11" ht="100.8">
      <c r="A50" s="22" t="s">
        <v>314</v>
      </c>
      <c r="B50" s="53" t="s">
        <v>326</v>
      </c>
      <c r="C50" s="27" t="s">
        <v>358</v>
      </c>
      <c r="D50" s="34" t="s">
        <v>359</v>
      </c>
      <c r="E50" s="20" t="s">
        <v>360</v>
      </c>
      <c r="F50" s="36" t="s">
        <v>337</v>
      </c>
      <c r="G50" s="27" t="s">
        <v>361</v>
      </c>
      <c r="H50" s="21" t="s">
        <v>8</v>
      </c>
      <c r="I50" s="21" t="s">
        <v>24</v>
      </c>
      <c r="J50" s="22" t="s">
        <v>338</v>
      </c>
      <c r="K50" s="22" t="s">
        <v>684</v>
      </c>
    </row>
    <row r="51" spans="1:11" ht="72">
      <c r="A51" s="22" t="s">
        <v>315</v>
      </c>
      <c r="B51" s="53"/>
      <c r="C51" s="27" t="s">
        <v>339</v>
      </c>
      <c r="D51" s="34" t="s">
        <v>340</v>
      </c>
      <c r="E51" s="20" t="s">
        <v>453</v>
      </c>
      <c r="F51" s="36" t="s">
        <v>362</v>
      </c>
      <c r="G51" s="27" t="s">
        <v>363</v>
      </c>
      <c r="H51" s="21" t="s">
        <v>8</v>
      </c>
      <c r="I51" s="21" t="s">
        <v>21</v>
      </c>
      <c r="J51" s="22" t="s">
        <v>364</v>
      </c>
      <c r="K51" s="22" t="s">
        <v>685</v>
      </c>
    </row>
    <row r="52" spans="1:11" ht="86.4">
      <c r="A52" s="22" t="s">
        <v>316</v>
      </c>
      <c r="B52" s="53"/>
      <c r="C52" s="27" t="s">
        <v>341</v>
      </c>
      <c r="D52" s="34" t="s">
        <v>365</v>
      </c>
      <c r="E52" s="20" t="s">
        <v>366</v>
      </c>
      <c r="F52" s="36" t="s">
        <v>342</v>
      </c>
      <c r="G52" s="27" t="s">
        <v>367</v>
      </c>
      <c r="H52" s="21" t="s">
        <v>4</v>
      </c>
      <c r="I52" s="21" t="s">
        <v>23</v>
      </c>
      <c r="J52" s="22" t="s">
        <v>368</v>
      </c>
      <c r="K52" s="22" t="s">
        <v>684</v>
      </c>
    </row>
    <row r="53" spans="1:11" ht="115.2">
      <c r="A53" s="22" t="s">
        <v>317</v>
      </c>
      <c r="B53" s="53" t="s">
        <v>327</v>
      </c>
      <c r="C53" s="27" t="s">
        <v>369</v>
      </c>
      <c r="D53" s="34" t="s">
        <v>370</v>
      </c>
      <c r="E53" s="20" t="s">
        <v>417</v>
      </c>
      <c r="F53" s="36" t="s">
        <v>343</v>
      </c>
      <c r="G53" s="27" t="s">
        <v>371</v>
      </c>
      <c r="H53" s="21" t="s">
        <v>8</v>
      </c>
      <c r="I53" s="21" t="s">
        <v>21</v>
      </c>
      <c r="J53" s="22" t="s">
        <v>357</v>
      </c>
      <c r="K53" s="22" t="s">
        <v>684</v>
      </c>
    </row>
    <row r="54" spans="1:11" ht="86.4">
      <c r="A54" s="22" t="s">
        <v>318</v>
      </c>
      <c r="B54" s="53"/>
      <c r="C54" s="27" t="s">
        <v>344</v>
      </c>
      <c r="D54" s="34" t="s">
        <v>345</v>
      </c>
      <c r="E54" s="20" t="s">
        <v>372</v>
      </c>
      <c r="F54" s="36" t="s">
        <v>464</v>
      </c>
      <c r="G54" s="27" t="s">
        <v>454</v>
      </c>
      <c r="H54" s="21" t="s">
        <v>4</v>
      </c>
      <c r="I54" s="21" t="s">
        <v>21</v>
      </c>
      <c r="J54" s="22" t="s">
        <v>357</v>
      </c>
      <c r="K54" s="22" t="s">
        <v>684</v>
      </c>
    </row>
    <row r="55" spans="1:11" ht="96.6">
      <c r="A55" s="22" t="s">
        <v>319</v>
      </c>
      <c r="B55" s="54" t="s">
        <v>328</v>
      </c>
      <c r="C55" s="27" t="s">
        <v>373</v>
      </c>
      <c r="D55" s="34" t="s">
        <v>374</v>
      </c>
      <c r="E55" s="20" t="s">
        <v>455</v>
      </c>
      <c r="F55" s="36" t="s">
        <v>465</v>
      </c>
      <c r="G55" s="27" t="s">
        <v>375</v>
      </c>
      <c r="H55" s="21" t="s">
        <v>8</v>
      </c>
      <c r="I55" s="21" t="s">
        <v>23</v>
      </c>
      <c r="J55" s="22" t="s">
        <v>376</v>
      </c>
      <c r="K55" s="22" t="s">
        <v>686</v>
      </c>
    </row>
    <row r="56" spans="1:11" ht="129.6">
      <c r="A56" s="22" t="s">
        <v>320</v>
      </c>
      <c r="B56" s="54"/>
      <c r="C56" s="27" t="s">
        <v>377</v>
      </c>
      <c r="D56" s="34" t="s">
        <v>346</v>
      </c>
      <c r="E56" s="20" t="s">
        <v>378</v>
      </c>
      <c r="F56" s="36" t="s">
        <v>347</v>
      </c>
      <c r="G56" s="27" t="s">
        <v>348</v>
      </c>
      <c r="H56" s="21" t="s">
        <v>5</v>
      </c>
      <c r="I56" s="21" t="s">
        <v>23</v>
      </c>
      <c r="J56" s="22" t="s">
        <v>379</v>
      </c>
      <c r="K56" s="22" t="s">
        <v>686</v>
      </c>
    </row>
    <row r="57" spans="1:11" ht="100.8">
      <c r="A57" s="22" t="s">
        <v>321</v>
      </c>
      <c r="B57" s="54"/>
      <c r="C57" s="27" t="s">
        <v>380</v>
      </c>
      <c r="D57" s="34" t="s">
        <v>381</v>
      </c>
      <c r="E57" s="20" t="s">
        <v>382</v>
      </c>
      <c r="F57" s="36" t="s">
        <v>383</v>
      </c>
      <c r="G57" s="27" t="s">
        <v>384</v>
      </c>
      <c r="H57" s="21" t="s">
        <v>4</v>
      </c>
      <c r="I57" s="21" t="s">
        <v>23</v>
      </c>
      <c r="J57" s="22" t="s">
        <v>385</v>
      </c>
      <c r="K57" s="22" t="s">
        <v>687</v>
      </c>
    </row>
    <row r="58" spans="1:11" ht="172.8">
      <c r="A58" s="22" t="s">
        <v>322</v>
      </c>
      <c r="B58" s="54" t="s">
        <v>329</v>
      </c>
      <c r="C58" s="27" t="s">
        <v>398</v>
      </c>
      <c r="D58" s="34" t="s">
        <v>386</v>
      </c>
      <c r="E58" s="20" t="s">
        <v>399</v>
      </c>
      <c r="F58" s="36" t="s">
        <v>387</v>
      </c>
      <c r="G58" s="27" t="s">
        <v>480</v>
      </c>
      <c r="H58" s="21" t="s">
        <v>8</v>
      </c>
      <c r="I58" s="21" t="s">
        <v>22</v>
      </c>
      <c r="J58" s="22" t="s">
        <v>388</v>
      </c>
      <c r="K58" s="22" t="s">
        <v>687</v>
      </c>
    </row>
    <row r="59" spans="1:11" ht="57.6">
      <c r="A59" s="22" t="s">
        <v>323</v>
      </c>
      <c r="B59" s="54"/>
      <c r="C59" s="27" t="s">
        <v>389</v>
      </c>
      <c r="D59" s="34" t="s">
        <v>390</v>
      </c>
      <c r="E59" s="20" t="s">
        <v>391</v>
      </c>
      <c r="F59" s="36" t="s">
        <v>392</v>
      </c>
      <c r="G59" s="27" t="s">
        <v>349</v>
      </c>
      <c r="H59" s="21" t="s">
        <v>5</v>
      </c>
      <c r="I59" s="21" t="s">
        <v>24</v>
      </c>
      <c r="J59" s="22" t="s">
        <v>142</v>
      </c>
      <c r="K59" s="22" t="s">
        <v>687</v>
      </c>
    </row>
    <row r="60" spans="1:11" ht="83.4" thickBot="1">
      <c r="A60" s="44" t="s">
        <v>324</v>
      </c>
      <c r="B60" s="51" t="s">
        <v>330</v>
      </c>
      <c r="C60" s="46" t="s">
        <v>393</v>
      </c>
      <c r="D60" s="47" t="s">
        <v>394</v>
      </c>
      <c r="E60" s="48" t="s">
        <v>418</v>
      </c>
      <c r="F60" s="49" t="s">
        <v>395</v>
      </c>
      <c r="G60" s="46" t="s">
        <v>396</v>
      </c>
      <c r="H60" s="50" t="s">
        <v>8</v>
      </c>
      <c r="I60" s="50" t="s">
        <v>21</v>
      </c>
      <c r="J60" s="44" t="s">
        <v>397</v>
      </c>
      <c r="K60" s="44" t="s">
        <v>688</v>
      </c>
    </row>
    <row r="61" spans="1:11" ht="71.400000000000006" customHeight="1" thickTop="1">
      <c r="A61" s="38" t="s">
        <v>400</v>
      </c>
      <c r="B61" s="52" t="s">
        <v>409</v>
      </c>
      <c r="C61" s="39" t="s">
        <v>481</v>
      </c>
      <c r="D61" s="40" t="s">
        <v>482</v>
      </c>
      <c r="E61" s="41" t="s">
        <v>483</v>
      </c>
      <c r="F61" s="42" t="s">
        <v>484</v>
      </c>
      <c r="G61" s="39" t="s">
        <v>485</v>
      </c>
      <c r="H61" s="43" t="s">
        <v>4</v>
      </c>
      <c r="I61" s="43" t="s">
        <v>23</v>
      </c>
      <c r="J61" s="38" t="s">
        <v>142</v>
      </c>
      <c r="K61" s="38" t="s">
        <v>689</v>
      </c>
    </row>
    <row r="62" spans="1:11" ht="110.4">
      <c r="A62" s="22" t="s">
        <v>401</v>
      </c>
      <c r="B62" s="53"/>
      <c r="C62" s="11" t="s">
        <v>419</v>
      </c>
      <c r="D62" s="18" t="s">
        <v>420</v>
      </c>
      <c r="E62" s="20" t="s">
        <v>486</v>
      </c>
      <c r="F62" s="19" t="s">
        <v>421</v>
      </c>
      <c r="G62" s="11" t="s">
        <v>487</v>
      </c>
      <c r="H62" s="21" t="s">
        <v>5</v>
      </c>
      <c r="I62" s="21" t="s">
        <v>23</v>
      </c>
      <c r="J62" s="22" t="s">
        <v>422</v>
      </c>
      <c r="K62" s="22" t="s">
        <v>690</v>
      </c>
    </row>
    <row r="63" spans="1:11" ht="55.2">
      <c r="A63" s="22" t="s">
        <v>402</v>
      </c>
      <c r="B63" s="53" t="s">
        <v>410</v>
      </c>
      <c r="C63" s="11" t="s">
        <v>423</v>
      </c>
      <c r="D63" s="18" t="s">
        <v>424</v>
      </c>
      <c r="E63" s="20" t="s">
        <v>488</v>
      </c>
      <c r="F63" s="19" t="s">
        <v>489</v>
      </c>
      <c r="G63" s="11" t="s">
        <v>490</v>
      </c>
      <c r="H63" s="21" t="s">
        <v>8</v>
      </c>
      <c r="I63" s="21" t="s">
        <v>23</v>
      </c>
      <c r="J63" s="22" t="s">
        <v>425</v>
      </c>
      <c r="K63" s="22" t="s">
        <v>686</v>
      </c>
    </row>
    <row r="64" spans="1:11" ht="86.4">
      <c r="A64" s="22" t="s">
        <v>403</v>
      </c>
      <c r="B64" s="53"/>
      <c r="C64" s="27" t="s">
        <v>426</v>
      </c>
      <c r="D64" s="34" t="s">
        <v>427</v>
      </c>
      <c r="E64" s="20" t="s">
        <v>491</v>
      </c>
      <c r="F64" s="36" t="s">
        <v>466</v>
      </c>
      <c r="G64" s="27" t="s">
        <v>492</v>
      </c>
      <c r="H64" s="21" t="s">
        <v>5</v>
      </c>
      <c r="I64" s="21" t="s">
        <v>23</v>
      </c>
      <c r="J64" s="22" t="s">
        <v>493</v>
      </c>
      <c r="K64" s="22" t="s">
        <v>691</v>
      </c>
    </row>
    <row r="65" spans="1:11" ht="57.6">
      <c r="A65" s="22" t="s">
        <v>404</v>
      </c>
      <c r="B65" s="53" t="s">
        <v>412</v>
      </c>
      <c r="C65" s="27" t="s">
        <v>467</v>
      </c>
      <c r="D65" s="34" t="s">
        <v>468</v>
      </c>
      <c r="E65" s="20" t="s">
        <v>469</v>
      </c>
      <c r="F65" s="36" t="s">
        <v>494</v>
      </c>
      <c r="G65" s="27" t="s">
        <v>495</v>
      </c>
      <c r="H65" s="21" t="s">
        <v>8</v>
      </c>
      <c r="I65" s="21" t="s">
        <v>6</v>
      </c>
      <c r="J65" s="22" t="s">
        <v>422</v>
      </c>
      <c r="K65" s="22" t="s">
        <v>683</v>
      </c>
    </row>
    <row r="66" spans="1:11" ht="72">
      <c r="A66" s="22" t="s">
        <v>405</v>
      </c>
      <c r="B66" s="53"/>
      <c r="C66" s="27" t="s">
        <v>470</v>
      </c>
      <c r="D66" s="34" t="s">
        <v>471</v>
      </c>
      <c r="E66" s="20" t="s">
        <v>496</v>
      </c>
      <c r="F66" s="36" t="s">
        <v>472</v>
      </c>
      <c r="G66" s="27" t="s">
        <v>497</v>
      </c>
      <c r="H66" s="21" t="s">
        <v>4</v>
      </c>
      <c r="I66" s="21" t="s">
        <v>24</v>
      </c>
      <c r="J66" s="22" t="s">
        <v>422</v>
      </c>
      <c r="K66" s="22" t="s">
        <v>692</v>
      </c>
    </row>
    <row r="67" spans="1:11" ht="72">
      <c r="A67" s="22" t="s">
        <v>406</v>
      </c>
      <c r="B67" s="31" t="s">
        <v>411</v>
      </c>
      <c r="C67" s="27" t="s">
        <v>498</v>
      </c>
      <c r="D67" s="34" t="s">
        <v>473</v>
      </c>
      <c r="E67" s="20" t="s">
        <v>499</v>
      </c>
      <c r="F67" s="36" t="s">
        <v>474</v>
      </c>
      <c r="G67" s="27" t="s">
        <v>500</v>
      </c>
      <c r="H67" s="21" t="s">
        <v>4</v>
      </c>
      <c r="I67" s="21" t="s">
        <v>22</v>
      </c>
      <c r="J67" s="22" t="s">
        <v>422</v>
      </c>
      <c r="K67" s="22" t="s">
        <v>693</v>
      </c>
    </row>
    <row r="68" spans="1:11" ht="86.4">
      <c r="A68" s="22" t="s">
        <v>407</v>
      </c>
      <c r="B68" s="54" t="s">
        <v>413</v>
      </c>
      <c r="C68" s="27" t="s">
        <v>475</v>
      </c>
      <c r="D68" s="34" t="s">
        <v>501</v>
      </c>
      <c r="E68" s="20" t="s">
        <v>502</v>
      </c>
      <c r="F68" s="36" t="s">
        <v>503</v>
      </c>
      <c r="G68" s="27" t="s">
        <v>504</v>
      </c>
      <c r="H68" s="21" t="s">
        <v>5</v>
      </c>
      <c r="I68" s="21" t="s">
        <v>23</v>
      </c>
      <c r="J68" s="22" t="s">
        <v>476</v>
      </c>
      <c r="K68" s="22" t="s">
        <v>684</v>
      </c>
    </row>
    <row r="69" spans="1:11" ht="83.4" thickBot="1">
      <c r="A69" s="44" t="s">
        <v>408</v>
      </c>
      <c r="B69" s="55"/>
      <c r="C69" s="46" t="s">
        <v>505</v>
      </c>
      <c r="D69" s="47" t="s">
        <v>506</v>
      </c>
      <c r="E69" s="48" t="s">
        <v>507</v>
      </c>
      <c r="F69" s="49" t="s">
        <v>477</v>
      </c>
      <c r="G69" s="46" t="s">
        <v>508</v>
      </c>
      <c r="H69" s="50" t="s">
        <v>3</v>
      </c>
      <c r="I69" s="50" t="s">
        <v>23</v>
      </c>
      <c r="J69" s="44" t="s">
        <v>142</v>
      </c>
      <c r="K69" s="44" t="s">
        <v>693</v>
      </c>
    </row>
    <row r="70" spans="1:11" ht="111" thickTop="1">
      <c r="A70" s="38" t="s">
        <v>509</v>
      </c>
      <c r="B70" s="52" t="s">
        <v>522</v>
      </c>
      <c r="C70" s="39" t="s">
        <v>558</v>
      </c>
      <c r="D70" s="40" t="s">
        <v>530</v>
      </c>
      <c r="E70" s="41" t="s">
        <v>559</v>
      </c>
      <c r="F70" s="42" t="s">
        <v>531</v>
      </c>
      <c r="G70" s="39" t="s">
        <v>560</v>
      </c>
      <c r="H70" s="43" t="s">
        <v>8</v>
      </c>
      <c r="I70" s="43" t="s">
        <v>24</v>
      </c>
      <c r="J70" s="38" t="s">
        <v>142</v>
      </c>
      <c r="K70" s="38" t="s">
        <v>694</v>
      </c>
    </row>
    <row r="71" spans="1:11" ht="55.2">
      <c r="A71" s="22" t="s">
        <v>510</v>
      </c>
      <c r="B71" s="53"/>
      <c r="C71" s="11" t="s">
        <v>532</v>
      </c>
      <c r="D71" s="18" t="s">
        <v>533</v>
      </c>
      <c r="E71" s="20" t="s">
        <v>561</v>
      </c>
      <c r="F71" s="19" t="s">
        <v>534</v>
      </c>
      <c r="G71" s="11" t="s">
        <v>535</v>
      </c>
      <c r="H71" s="21" t="s">
        <v>4</v>
      </c>
      <c r="I71" s="21" t="s">
        <v>6</v>
      </c>
      <c r="J71" s="22" t="s">
        <v>142</v>
      </c>
      <c r="K71" s="22" t="s">
        <v>691</v>
      </c>
    </row>
    <row r="72" spans="1:11" ht="69">
      <c r="A72" s="22" t="s">
        <v>511</v>
      </c>
      <c r="B72" s="53" t="s">
        <v>523</v>
      </c>
      <c r="C72" s="11" t="s">
        <v>562</v>
      </c>
      <c r="D72" s="18" t="s">
        <v>536</v>
      </c>
      <c r="E72" s="20" t="s">
        <v>563</v>
      </c>
      <c r="F72" s="19" t="s">
        <v>564</v>
      </c>
      <c r="G72" s="11" t="s">
        <v>537</v>
      </c>
      <c r="H72" s="21" t="s">
        <v>8</v>
      </c>
      <c r="I72" s="21" t="s">
        <v>21</v>
      </c>
      <c r="J72" s="22" t="s">
        <v>565</v>
      </c>
      <c r="K72" s="22" t="s">
        <v>684</v>
      </c>
    </row>
    <row r="73" spans="1:11" ht="115.2">
      <c r="A73" s="22" t="s">
        <v>512</v>
      </c>
      <c r="B73" s="53"/>
      <c r="C73" s="27" t="s">
        <v>538</v>
      </c>
      <c r="D73" s="34" t="s">
        <v>566</v>
      </c>
      <c r="E73" s="20" t="s">
        <v>567</v>
      </c>
      <c r="F73" s="36" t="s">
        <v>539</v>
      </c>
      <c r="G73" s="27" t="s">
        <v>540</v>
      </c>
      <c r="H73" s="21" t="s">
        <v>8</v>
      </c>
      <c r="I73" s="21" t="s">
        <v>21</v>
      </c>
      <c r="J73" s="22" t="s">
        <v>568</v>
      </c>
      <c r="K73" s="22" t="s">
        <v>683</v>
      </c>
    </row>
    <row r="74" spans="1:11" ht="86.4">
      <c r="A74" s="22" t="s">
        <v>513</v>
      </c>
      <c r="B74" s="53" t="s">
        <v>524</v>
      </c>
      <c r="C74" s="27" t="s">
        <v>569</v>
      </c>
      <c r="D74" s="34" t="s">
        <v>570</v>
      </c>
      <c r="E74" s="20" t="s">
        <v>571</v>
      </c>
      <c r="F74" s="36" t="s">
        <v>572</v>
      </c>
      <c r="G74" s="27" t="s">
        <v>573</v>
      </c>
      <c r="H74" s="21" t="s">
        <v>8</v>
      </c>
      <c r="I74" s="21" t="s">
        <v>21</v>
      </c>
      <c r="J74" s="22" t="s">
        <v>574</v>
      </c>
      <c r="K74" s="22" t="s">
        <v>684</v>
      </c>
    </row>
    <row r="75" spans="1:11" ht="100.8">
      <c r="A75" s="22" t="s">
        <v>514</v>
      </c>
      <c r="B75" s="53"/>
      <c r="C75" s="27" t="s">
        <v>541</v>
      </c>
      <c r="D75" s="34" t="s">
        <v>575</v>
      </c>
      <c r="E75" s="20" t="s">
        <v>576</v>
      </c>
      <c r="F75" s="36" t="s">
        <v>577</v>
      </c>
      <c r="G75" s="27" t="s">
        <v>542</v>
      </c>
      <c r="H75" s="21" t="s">
        <v>4</v>
      </c>
      <c r="I75" s="21" t="s">
        <v>22</v>
      </c>
      <c r="J75" s="22" t="s">
        <v>578</v>
      </c>
      <c r="K75" s="22" t="s">
        <v>684</v>
      </c>
    </row>
    <row r="76" spans="1:11" ht="129.6">
      <c r="A76" s="22" t="s">
        <v>515</v>
      </c>
      <c r="B76" s="53" t="s">
        <v>525</v>
      </c>
      <c r="C76" s="27" t="s">
        <v>579</v>
      </c>
      <c r="D76" s="34" t="s">
        <v>543</v>
      </c>
      <c r="E76" s="20" t="s">
        <v>580</v>
      </c>
      <c r="F76" s="36" t="s">
        <v>581</v>
      </c>
      <c r="G76" s="27" t="s">
        <v>582</v>
      </c>
      <c r="H76" s="21" t="s">
        <v>4</v>
      </c>
      <c r="I76" s="21" t="s">
        <v>23</v>
      </c>
      <c r="J76" s="22" t="s">
        <v>583</v>
      </c>
      <c r="K76" s="22" t="s">
        <v>683</v>
      </c>
    </row>
    <row r="77" spans="1:11" ht="100.8">
      <c r="A77" s="22" t="s">
        <v>516</v>
      </c>
      <c r="B77" s="53"/>
      <c r="C77" s="27" t="s">
        <v>584</v>
      </c>
      <c r="D77" s="34" t="s">
        <v>544</v>
      </c>
      <c r="E77" s="20" t="s">
        <v>585</v>
      </c>
      <c r="F77" s="36" t="s">
        <v>545</v>
      </c>
      <c r="G77" s="27" t="s">
        <v>586</v>
      </c>
      <c r="H77" s="21" t="s">
        <v>5</v>
      </c>
      <c r="I77" s="21" t="s">
        <v>23</v>
      </c>
      <c r="J77" s="22" t="s">
        <v>587</v>
      </c>
      <c r="K77" s="22" t="s">
        <v>686</v>
      </c>
    </row>
    <row r="78" spans="1:11" ht="100.8">
      <c r="A78" s="22" t="s">
        <v>517</v>
      </c>
      <c r="B78" s="54" t="s">
        <v>526</v>
      </c>
      <c r="C78" s="27" t="s">
        <v>546</v>
      </c>
      <c r="D78" s="34" t="s">
        <v>547</v>
      </c>
      <c r="E78" s="20" t="s">
        <v>588</v>
      </c>
      <c r="F78" s="36" t="s">
        <v>548</v>
      </c>
      <c r="G78" s="27" t="s">
        <v>589</v>
      </c>
      <c r="H78" s="21" t="s">
        <v>8</v>
      </c>
      <c r="I78" s="21" t="s">
        <v>21</v>
      </c>
      <c r="J78" s="22" t="s">
        <v>142</v>
      </c>
      <c r="K78" s="22" t="s">
        <v>694</v>
      </c>
    </row>
    <row r="79" spans="1:11" ht="100.8">
      <c r="A79" s="22" t="s">
        <v>518</v>
      </c>
      <c r="B79" s="54"/>
      <c r="C79" s="27" t="s">
        <v>549</v>
      </c>
      <c r="D79" s="34" t="s">
        <v>550</v>
      </c>
      <c r="E79" s="20" t="s">
        <v>590</v>
      </c>
      <c r="F79" s="36" t="s">
        <v>591</v>
      </c>
      <c r="G79" s="27" t="s">
        <v>592</v>
      </c>
      <c r="H79" s="21" t="s">
        <v>4</v>
      </c>
      <c r="I79" s="21" t="s">
        <v>24</v>
      </c>
      <c r="J79" s="22" t="s">
        <v>142</v>
      </c>
      <c r="K79" s="22" t="s">
        <v>695</v>
      </c>
    </row>
    <row r="80" spans="1:11" ht="129.6">
      <c r="A80" s="22" t="s">
        <v>519</v>
      </c>
      <c r="B80" s="32" t="s">
        <v>527</v>
      </c>
      <c r="C80" s="27" t="s">
        <v>551</v>
      </c>
      <c r="D80" s="34" t="s">
        <v>552</v>
      </c>
      <c r="E80" s="20" t="s">
        <v>553</v>
      </c>
      <c r="F80" s="36" t="s">
        <v>554</v>
      </c>
      <c r="G80" s="27" t="s">
        <v>593</v>
      </c>
      <c r="H80" s="21" t="s">
        <v>4</v>
      </c>
      <c r="I80" s="21" t="s">
        <v>21</v>
      </c>
      <c r="J80" s="22" t="s">
        <v>142</v>
      </c>
      <c r="K80" s="22" t="s">
        <v>684</v>
      </c>
    </row>
    <row r="81" spans="1:11" ht="100.8">
      <c r="A81" s="22" t="s">
        <v>520</v>
      </c>
      <c r="B81" s="32" t="s">
        <v>528</v>
      </c>
      <c r="C81" s="27" t="s">
        <v>594</v>
      </c>
      <c r="D81" s="34" t="s">
        <v>555</v>
      </c>
      <c r="E81" s="20" t="s">
        <v>595</v>
      </c>
      <c r="F81" s="36" t="s">
        <v>596</v>
      </c>
      <c r="G81" s="27" t="s">
        <v>556</v>
      </c>
      <c r="H81" s="21" t="s">
        <v>4</v>
      </c>
      <c r="I81" s="21" t="s">
        <v>22</v>
      </c>
      <c r="J81" s="22" t="s">
        <v>568</v>
      </c>
      <c r="K81" s="22" t="s">
        <v>696</v>
      </c>
    </row>
    <row r="82" spans="1:11" ht="83.4" thickBot="1">
      <c r="A82" s="44" t="s">
        <v>521</v>
      </c>
      <c r="B82" s="51" t="s">
        <v>529</v>
      </c>
      <c r="C82" s="46" t="s">
        <v>597</v>
      </c>
      <c r="D82" s="47" t="s">
        <v>598</v>
      </c>
      <c r="E82" s="48" t="s">
        <v>599</v>
      </c>
      <c r="F82" s="49" t="s">
        <v>557</v>
      </c>
      <c r="G82" s="46" t="s">
        <v>600</v>
      </c>
      <c r="H82" s="50" t="s">
        <v>4</v>
      </c>
      <c r="I82" s="50" t="s">
        <v>22</v>
      </c>
      <c r="J82" s="44" t="s">
        <v>601</v>
      </c>
      <c r="K82" s="44" t="s">
        <v>684</v>
      </c>
    </row>
    <row r="83" spans="1:11" ht="27.6" customHeight="1" thickTop="1">
      <c r="A83" s="38" t="s">
        <v>602</v>
      </c>
      <c r="B83" s="52" t="s">
        <v>613</v>
      </c>
      <c r="C83" s="39" t="s">
        <v>619</v>
      </c>
      <c r="D83" s="40" t="s">
        <v>655</v>
      </c>
      <c r="E83" s="41" t="s">
        <v>656</v>
      </c>
      <c r="F83" s="42" t="s">
        <v>620</v>
      </c>
      <c r="G83" s="39" t="s">
        <v>657</v>
      </c>
      <c r="H83" s="43" t="s">
        <v>8</v>
      </c>
      <c r="I83" s="43" t="s">
        <v>21</v>
      </c>
      <c r="J83" s="38" t="s">
        <v>142</v>
      </c>
      <c r="K83" s="38" t="s">
        <v>697</v>
      </c>
    </row>
    <row r="84" spans="1:11" ht="69">
      <c r="A84" s="22" t="s">
        <v>603</v>
      </c>
      <c r="B84" s="53"/>
      <c r="C84" s="11" t="s">
        <v>658</v>
      </c>
      <c r="D84" s="18" t="s">
        <v>659</v>
      </c>
      <c r="E84" s="20" t="s">
        <v>621</v>
      </c>
      <c r="F84" s="19" t="s">
        <v>660</v>
      </c>
      <c r="G84" s="11" t="s">
        <v>661</v>
      </c>
      <c r="H84" s="21" t="s">
        <v>8</v>
      </c>
      <c r="I84" s="21" t="s">
        <v>21</v>
      </c>
      <c r="J84" s="22" t="s">
        <v>662</v>
      </c>
      <c r="K84" s="22" t="s">
        <v>691</v>
      </c>
    </row>
    <row r="85" spans="1:11" ht="82.8">
      <c r="A85" s="22" t="s">
        <v>604</v>
      </c>
      <c r="B85" s="53" t="s">
        <v>614</v>
      </c>
      <c r="C85" s="11" t="s">
        <v>663</v>
      </c>
      <c r="D85" s="18" t="s">
        <v>622</v>
      </c>
      <c r="E85" s="20" t="s">
        <v>664</v>
      </c>
      <c r="F85" s="19" t="s">
        <v>623</v>
      </c>
      <c r="G85" s="11" t="s">
        <v>665</v>
      </c>
      <c r="H85" s="21" t="s">
        <v>8</v>
      </c>
      <c r="I85" s="21" t="s">
        <v>21</v>
      </c>
      <c r="J85" s="22" t="s">
        <v>666</v>
      </c>
      <c r="K85" s="22" t="s">
        <v>684</v>
      </c>
    </row>
    <row r="86" spans="1:11" ht="86.4">
      <c r="A86" s="22" t="s">
        <v>605</v>
      </c>
      <c r="B86" s="53"/>
      <c r="C86" s="27" t="s">
        <v>624</v>
      </c>
      <c r="D86" s="34" t="s">
        <v>625</v>
      </c>
      <c r="E86" s="20" t="s">
        <v>667</v>
      </c>
      <c r="F86" s="36" t="s">
        <v>626</v>
      </c>
      <c r="G86" s="27" t="s">
        <v>627</v>
      </c>
      <c r="H86" s="21" t="s">
        <v>4</v>
      </c>
      <c r="I86" s="21" t="s">
        <v>21</v>
      </c>
      <c r="J86" s="22" t="s">
        <v>662</v>
      </c>
      <c r="K86" s="22" t="s">
        <v>683</v>
      </c>
    </row>
    <row r="87" spans="1:11" ht="115.2">
      <c r="A87" s="22" t="s">
        <v>606</v>
      </c>
      <c r="B87" s="53" t="s">
        <v>615</v>
      </c>
      <c r="C87" s="27" t="s">
        <v>668</v>
      </c>
      <c r="D87" s="34" t="s">
        <v>669</v>
      </c>
      <c r="E87" s="20" t="s">
        <v>670</v>
      </c>
      <c r="F87" s="36" t="s">
        <v>671</v>
      </c>
      <c r="G87" s="27" t="s">
        <v>672</v>
      </c>
      <c r="H87" s="21" t="s">
        <v>4</v>
      </c>
      <c r="I87" s="21" t="s">
        <v>6</v>
      </c>
      <c r="J87" s="22" t="s">
        <v>673</v>
      </c>
      <c r="K87" s="22" t="s">
        <v>698</v>
      </c>
    </row>
    <row r="88" spans="1:11" ht="115.2">
      <c r="A88" s="22" t="s">
        <v>607</v>
      </c>
      <c r="B88" s="53"/>
      <c r="C88" s="27" t="s">
        <v>674</v>
      </c>
      <c r="D88" s="34" t="s">
        <v>675</v>
      </c>
      <c r="E88" s="20" t="s">
        <v>676</v>
      </c>
      <c r="F88" s="36" t="s">
        <v>677</v>
      </c>
      <c r="G88" s="27" t="s">
        <v>678</v>
      </c>
      <c r="H88" s="21" t="s">
        <v>4</v>
      </c>
      <c r="I88" s="21" t="s">
        <v>6</v>
      </c>
      <c r="J88" s="22" t="s">
        <v>422</v>
      </c>
      <c r="K88" s="22" t="s">
        <v>690</v>
      </c>
    </row>
    <row r="89" spans="1:11" ht="100.8">
      <c r="A89" s="22" t="s">
        <v>608</v>
      </c>
      <c r="B89" s="53" t="s">
        <v>616</v>
      </c>
      <c r="C89" s="27" t="s">
        <v>634</v>
      </c>
      <c r="D89" s="34" t="s">
        <v>628</v>
      </c>
      <c r="E89" s="20" t="s">
        <v>635</v>
      </c>
      <c r="F89" s="36" t="s">
        <v>636</v>
      </c>
      <c r="G89" s="27" t="s">
        <v>637</v>
      </c>
      <c r="H89" s="21" t="s">
        <v>8</v>
      </c>
      <c r="I89" s="21" t="s">
        <v>21</v>
      </c>
      <c r="J89" s="22" t="s">
        <v>142</v>
      </c>
      <c r="K89" s="22" t="s">
        <v>683</v>
      </c>
    </row>
    <row r="90" spans="1:11" ht="86.4">
      <c r="A90" s="22" t="s">
        <v>609</v>
      </c>
      <c r="B90" s="53"/>
      <c r="C90" s="27" t="s">
        <v>629</v>
      </c>
      <c r="D90" s="34" t="s">
        <v>630</v>
      </c>
      <c r="E90" s="20" t="s">
        <v>638</v>
      </c>
      <c r="F90" s="36" t="s">
        <v>631</v>
      </c>
      <c r="G90" s="27" t="s">
        <v>639</v>
      </c>
      <c r="H90" s="21" t="s">
        <v>8</v>
      </c>
      <c r="I90" s="21" t="s">
        <v>21</v>
      </c>
      <c r="J90" s="22" t="s">
        <v>640</v>
      </c>
      <c r="K90" s="22" t="s">
        <v>683</v>
      </c>
    </row>
    <row r="91" spans="1:11" ht="72">
      <c r="A91" s="22" t="s">
        <v>610</v>
      </c>
      <c r="B91" s="53"/>
      <c r="C91" s="27" t="s">
        <v>641</v>
      </c>
      <c r="D91" s="34" t="s">
        <v>632</v>
      </c>
      <c r="E91" s="20" t="s">
        <v>642</v>
      </c>
      <c r="F91" s="36" t="s">
        <v>643</v>
      </c>
      <c r="G91" s="27" t="s">
        <v>644</v>
      </c>
      <c r="H91" s="21" t="s">
        <v>4</v>
      </c>
      <c r="I91" s="21" t="s">
        <v>24</v>
      </c>
      <c r="J91" s="22" t="s">
        <v>142</v>
      </c>
      <c r="K91" s="22" t="s">
        <v>681</v>
      </c>
    </row>
    <row r="92" spans="1:11" ht="100.8">
      <c r="A92" s="22" t="s">
        <v>611</v>
      </c>
      <c r="B92" s="32" t="s">
        <v>617</v>
      </c>
      <c r="C92" s="27" t="s">
        <v>645</v>
      </c>
      <c r="D92" s="34" t="s">
        <v>646</v>
      </c>
      <c r="E92" s="20" t="s">
        <v>647</v>
      </c>
      <c r="F92" s="36" t="s">
        <v>648</v>
      </c>
      <c r="G92" s="27" t="s">
        <v>649</v>
      </c>
      <c r="H92" s="21" t="s">
        <v>8</v>
      </c>
      <c r="I92" s="21" t="s">
        <v>21</v>
      </c>
      <c r="J92" s="22" t="s">
        <v>142</v>
      </c>
      <c r="K92" s="22" t="s">
        <v>699</v>
      </c>
    </row>
    <row r="93" spans="1:11" ht="96.6">
      <c r="A93" s="22" t="s">
        <v>612</v>
      </c>
      <c r="B93" s="32" t="s">
        <v>618</v>
      </c>
      <c r="C93" s="11" t="s">
        <v>650</v>
      </c>
      <c r="D93" s="18" t="s">
        <v>651</v>
      </c>
      <c r="E93" s="20" t="s">
        <v>652</v>
      </c>
      <c r="F93" s="19" t="s">
        <v>633</v>
      </c>
      <c r="G93" s="11" t="s">
        <v>653</v>
      </c>
      <c r="H93" s="21" t="s">
        <v>4</v>
      </c>
      <c r="I93" s="21" t="s">
        <v>24</v>
      </c>
      <c r="J93" s="22" t="s">
        <v>654</v>
      </c>
      <c r="K93" s="22" t="s">
        <v>693</v>
      </c>
    </row>
  </sheetData>
  <autoFilter ref="A1:J10" xr:uid="{F909E14E-C27B-4543-9878-5CFC49CDF79A}"/>
  <mergeCells count="34">
    <mergeCell ref="B2:B3"/>
    <mergeCell ref="B4:B6"/>
    <mergeCell ref="B7:B9"/>
    <mergeCell ref="B11:B12"/>
    <mergeCell ref="B13:B14"/>
    <mergeCell ref="B20:B23"/>
    <mergeCell ref="B24:B26"/>
    <mergeCell ref="B27:B29"/>
    <mergeCell ref="B30:B32"/>
    <mergeCell ref="B15:B16"/>
    <mergeCell ref="B17:B19"/>
    <mergeCell ref="B33:B35"/>
    <mergeCell ref="B36:B37"/>
    <mergeCell ref="B38:B40"/>
    <mergeCell ref="B41:B43"/>
    <mergeCell ref="B44:B46"/>
    <mergeCell ref="B47:B49"/>
    <mergeCell ref="B55:B57"/>
    <mergeCell ref="B50:B52"/>
    <mergeCell ref="B53:B54"/>
    <mergeCell ref="B58:B59"/>
    <mergeCell ref="B68:B69"/>
    <mergeCell ref="B76:B77"/>
    <mergeCell ref="B61:B62"/>
    <mergeCell ref="B63:B64"/>
    <mergeCell ref="B65:B66"/>
    <mergeCell ref="B83:B84"/>
    <mergeCell ref="B85:B86"/>
    <mergeCell ref="B87:B88"/>
    <mergeCell ref="B89:B91"/>
    <mergeCell ref="B70:B71"/>
    <mergeCell ref="B72:B73"/>
    <mergeCell ref="B74:B75"/>
    <mergeCell ref="B78:B79"/>
  </mergeCells>
  <phoneticPr fontId="5" type="noConversion"/>
  <pageMargins left="0.25" right="0.25" top="0.75" bottom="0.75" header="0.3" footer="0.3"/>
  <pageSetup paperSize="9" scale="4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864A1FD6-8089-47F5-8F73-8AD777DA3EF3}">
            <xm:f>ELECCIONES!$A$5</xm:f>
            <x14:dxf>
              <font>
                <b val="0"/>
                <i val="0"/>
                <strike val="0"/>
              </font>
              <fill>
                <patternFill>
                  <bgColor rgb="FFFF6969"/>
                </patternFill>
              </fill>
            </x14:dxf>
          </x14:cfRule>
          <x14:cfRule type="cellIs" priority="12" operator="equal" id="{87F324B2-0CBA-4A63-8674-7A07A7058FBA}">
            <xm:f>ELECCIONES!$A$4</xm:f>
            <x14:dxf>
              <font>
                <b val="0"/>
                <i val="0"/>
                <strike val="0"/>
              </font>
              <fill>
                <patternFill>
                  <bgColor rgb="FFFFD347"/>
                </patternFill>
              </fill>
            </x14:dxf>
          </x14:cfRule>
          <x14:cfRule type="cellIs" priority="13" operator="equal" id="{6246052B-001D-4798-A96E-4D9434B8C672}">
            <xm:f>ELECCIONES!$A$3</xm:f>
            <x14:dxf>
              <font>
                <b val="0"/>
                <i val="0"/>
                <strike val="0"/>
              </font>
              <fill>
                <patternFill>
                  <bgColor rgb="FFFFFF99"/>
                </patternFill>
              </fill>
            </x14:dxf>
          </x14:cfRule>
          <x14:cfRule type="cellIs" priority="14" operator="equal" id="{61112DC5-7EBE-4F86-BFA5-0C1FB7BC53E5}">
            <xm:f>ELECCIONES!$A$2</xm:f>
            <x14:dxf>
              <font>
                <b val="0"/>
                <i val="0"/>
                <strike val="0"/>
              </font>
              <fill>
                <patternFill>
                  <bgColor theme="3" tint="0.749961851863155"/>
                </patternFill>
              </fill>
            </x14:dxf>
          </x14:cfRule>
          <xm:sqref>H1:I1048576</xm:sqref>
        </x14:conditionalFormatting>
        <x14:conditionalFormatting xmlns:xm="http://schemas.microsoft.com/office/excel/2006/main">
          <x14:cfRule type="cellIs" priority="1" operator="equal" id="{1A2C53D7-1FD7-442B-8562-CA56FD1BBEE8}">
            <xm:f>ELECCIONES!$B$6</xm:f>
            <x14:dxf>
              <font>
                <color auto="1"/>
              </font>
              <fill>
                <patternFill>
                  <fgColor rgb="FFBFB42B"/>
                  <bgColor rgb="FFBFB42B"/>
                </patternFill>
              </fill>
            </x14:dxf>
          </x14:cfRule>
          <x14:cfRule type="cellIs" priority="2" operator="equal" id="{2997F906-4E19-4A99-BE88-629FB259AD19}">
            <xm:f>ELECCIONES!$B$5</xm:f>
            <x14:dxf>
              <font>
                <color auto="1"/>
              </font>
              <fill>
                <patternFill>
                  <fgColor rgb="FF92D050"/>
                  <bgColor rgb="FF92D050"/>
                </patternFill>
              </fill>
            </x14:dxf>
          </x14:cfRule>
          <x14:cfRule type="cellIs" priority="3" operator="equal" id="{074F30F6-05C5-4A7E-901C-B0633EF269FE}">
            <xm:f>ELECCIONES!$B$4</xm:f>
            <x14:dxf>
              <font>
                <color auto="1"/>
              </font>
              <fill>
                <patternFill>
                  <fgColor rgb="FFBDDB9D"/>
                  <bgColor rgb="FFBDDB9D"/>
                </patternFill>
              </fill>
            </x14:dxf>
          </x14:cfRule>
          <x14:cfRule type="cellIs" priority="4" operator="equal" id="{BD388BEB-6BAC-47EC-BCF7-D39803C47633}">
            <xm:f>ELECCIONES!$B$3</xm:f>
            <x14:dxf>
              <font>
                <color auto="1"/>
              </font>
              <fill>
                <patternFill>
                  <fgColor rgb="FFB5E6A2"/>
                  <bgColor rgb="FFB5E6A2"/>
                </patternFill>
              </fill>
            </x14:dxf>
          </x14:cfRule>
          <x14:cfRule type="cellIs" priority="5" operator="equal" id="{04549D89-233E-40B1-98BF-8C4A328D52AB}">
            <xm:f>ELECCIONES!$B$2</xm:f>
            <x14:dxf>
              <font>
                <color auto="1"/>
              </font>
              <fill>
                <patternFill>
                  <fgColor auto="1"/>
                  <bgColor rgb="FFDAF2D0"/>
                </patternFill>
              </fill>
            </x14:dxf>
          </x14:cfRule>
          <xm:sqref>I1:I1048576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3859DA-FF71-47EE-9460-64AAC93AE1BA}">
          <x14:formula1>
            <xm:f>ELECCIONES!$A$2:$A$5</xm:f>
          </x14:formula1>
          <xm:sqref>H1:H1048576</xm:sqref>
        </x14:dataValidation>
        <x14:dataValidation type="list" allowBlank="1" showInputMessage="1" xr:uid="{E6576A81-FDD5-4A66-A259-8531671580EF}">
          <x14:formula1>
            <xm:f>ELECCIONES!$B$2:$B$6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873-0A5C-4771-99C6-B307B84092B2}">
  <dimension ref="A1:B13"/>
  <sheetViews>
    <sheetView workbookViewId="0"/>
  </sheetViews>
  <sheetFormatPr baseColWidth="10" defaultRowHeight="13.8"/>
  <cols>
    <col min="1" max="1" width="11.5546875" style="1"/>
    <col min="2" max="2" width="15.77734375" style="1" customWidth="1"/>
    <col min="3" max="16384" width="11.5546875" style="1"/>
  </cols>
  <sheetData>
    <row r="1" spans="1:2">
      <c r="A1" s="3" t="s">
        <v>7</v>
      </c>
      <c r="B1" s="3" t="s">
        <v>20</v>
      </c>
    </row>
    <row r="2" spans="1:2">
      <c r="A2" s="12" t="s">
        <v>3</v>
      </c>
      <c r="B2" s="6" t="s">
        <v>21</v>
      </c>
    </row>
    <row r="3" spans="1:2">
      <c r="A3" s="13" t="s">
        <v>5</v>
      </c>
      <c r="B3" s="7" t="s">
        <v>24</v>
      </c>
    </row>
    <row r="4" spans="1:2">
      <c r="A4" s="14" t="s">
        <v>4</v>
      </c>
      <c r="B4" s="9" t="s">
        <v>6</v>
      </c>
    </row>
    <row r="5" spans="1:2">
      <c r="A5" s="15" t="s">
        <v>8</v>
      </c>
      <c r="B5" s="8" t="s">
        <v>22</v>
      </c>
    </row>
    <row r="6" spans="1:2">
      <c r="A6" s="4"/>
      <c r="B6" s="10" t="s">
        <v>23</v>
      </c>
    </row>
    <row r="7" spans="1:2">
      <c r="A7" s="5"/>
      <c r="B7" s="5"/>
    </row>
    <row r="8" spans="1:2">
      <c r="B8" s="2"/>
    </row>
    <row r="9" spans="1:2">
      <c r="B9" s="2"/>
    </row>
    <row r="10" spans="1:2">
      <c r="B10" s="2"/>
    </row>
    <row r="11" spans="1:2">
      <c r="B11" s="2"/>
    </row>
    <row r="12" spans="1:2">
      <c r="B12" s="2"/>
    </row>
    <row r="13" spans="1:2">
      <c r="B13" s="2"/>
    </row>
  </sheetData>
  <autoFilter ref="A1:B6" xr:uid="{49858873-0A5C-4771-99C6-B307B84092B2}"/>
  <sortState xmlns:xlrd2="http://schemas.microsoft.com/office/spreadsheetml/2017/richdata2" ref="A2:B6">
    <sortCondition ref="A1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ELECCIONES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MARTINEZ RODRIGUEZ</dc:creator>
  <cp:lastModifiedBy>ANDRES MARTINEZ RODRIGUEZ</cp:lastModifiedBy>
  <cp:lastPrinted>2026-06-10T20:10:51Z</cp:lastPrinted>
  <dcterms:created xsi:type="dcterms:W3CDTF">2026-05-23T15:49:54Z</dcterms:created>
  <dcterms:modified xsi:type="dcterms:W3CDTF">2026-06-13T22:11:10Z</dcterms:modified>
</cp:coreProperties>
</file>